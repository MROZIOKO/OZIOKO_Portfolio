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ziok\Downloads\"/>
    </mc:Choice>
  </mc:AlternateContent>
  <xr:revisionPtr revIDLastSave="0" documentId="8_{0A5F16FD-7DC9-43DA-83DA-2ADA96AFA48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mpact Dashboard" sheetId="1" r:id="rId1"/>
    <sheet name="Processed Analysis" sheetId="2" r:id="rId2"/>
    <sheet name="Current Raw - Anonymised" sheetId="3" r:id="rId3"/>
    <sheet name="Previous Raw - Source" sheetId="4" r:id="rId4"/>
    <sheet name="Current Raw + Formula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9" i="5" l="1"/>
  <c r="X39" i="5" s="1"/>
  <c r="Y39" i="5" s="1"/>
  <c r="V39" i="5"/>
  <c r="U39" i="5"/>
  <c r="T39" i="5"/>
  <c r="S39" i="5"/>
  <c r="W38" i="5"/>
  <c r="X38" i="5" s="1"/>
  <c r="Y38" i="5" s="1"/>
  <c r="V38" i="5"/>
  <c r="U38" i="5"/>
  <c r="T38" i="5"/>
  <c r="S38" i="5"/>
  <c r="X37" i="5"/>
  <c r="Y37" i="5" s="1"/>
  <c r="W37" i="5"/>
  <c r="V37" i="5"/>
  <c r="U37" i="5"/>
  <c r="T37" i="5"/>
  <c r="S37" i="5"/>
  <c r="W36" i="5"/>
  <c r="X36" i="5" s="1"/>
  <c r="Y36" i="5" s="1"/>
  <c r="V36" i="5"/>
  <c r="U36" i="5"/>
  <c r="T36" i="5"/>
  <c r="S36" i="5"/>
  <c r="W35" i="5"/>
  <c r="X35" i="5" s="1"/>
  <c r="Y35" i="5" s="1"/>
  <c r="V35" i="5"/>
  <c r="U35" i="5"/>
  <c r="T35" i="5"/>
  <c r="S35" i="5"/>
  <c r="W34" i="5"/>
  <c r="X34" i="5" s="1"/>
  <c r="Y34" i="5" s="1"/>
  <c r="V34" i="5"/>
  <c r="U34" i="5"/>
  <c r="T34" i="5"/>
  <c r="S34" i="5"/>
  <c r="X33" i="5"/>
  <c r="Y33" i="5" s="1"/>
  <c r="W33" i="5"/>
  <c r="V33" i="5"/>
  <c r="U33" i="5"/>
  <c r="T33" i="5"/>
  <c r="S33" i="5"/>
  <c r="W32" i="5"/>
  <c r="X32" i="5" s="1"/>
  <c r="Y32" i="5" s="1"/>
  <c r="V32" i="5"/>
  <c r="U32" i="5"/>
  <c r="T32" i="5"/>
  <c r="S32" i="5"/>
  <c r="X31" i="5"/>
  <c r="Y31" i="5" s="1"/>
  <c r="W31" i="5"/>
  <c r="V31" i="5"/>
  <c r="U31" i="5"/>
  <c r="T31" i="5"/>
  <c r="S31" i="5"/>
  <c r="W30" i="5"/>
  <c r="X30" i="5" s="1"/>
  <c r="Y30" i="5" s="1"/>
  <c r="V30" i="5"/>
  <c r="U30" i="5"/>
  <c r="T30" i="5"/>
  <c r="S30" i="5"/>
  <c r="W29" i="5"/>
  <c r="X29" i="5" s="1"/>
  <c r="Y29" i="5" s="1"/>
  <c r="V29" i="5"/>
  <c r="U29" i="5"/>
  <c r="T29" i="5"/>
  <c r="S29" i="5"/>
  <c r="W28" i="5"/>
  <c r="X28" i="5" s="1"/>
  <c r="Y28" i="5" s="1"/>
  <c r="V28" i="5"/>
  <c r="U28" i="5"/>
  <c r="T28" i="5"/>
  <c r="S28" i="5"/>
  <c r="W27" i="5"/>
  <c r="X27" i="5" s="1"/>
  <c r="Y27" i="5" s="1"/>
  <c r="V27" i="5"/>
  <c r="U27" i="5"/>
  <c r="T27" i="5"/>
  <c r="S27" i="5"/>
  <c r="W26" i="5"/>
  <c r="X26" i="5" s="1"/>
  <c r="Y26" i="5" s="1"/>
  <c r="V26" i="5"/>
  <c r="U26" i="5"/>
  <c r="T26" i="5"/>
  <c r="S26" i="5"/>
  <c r="W25" i="5"/>
  <c r="X25" i="5" s="1"/>
  <c r="Y25" i="5" s="1"/>
  <c r="V25" i="5"/>
  <c r="U25" i="5"/>
  <c r="T25" i="5"/>
  <c r="S25" i="5"/>
  <c r="W24" i="5"/>
  <c r="X24" i="5" s="1"/>
  <c r="Y24" i="5" s="1"/>
  <c r="V24" i="5"/>
  <c r="U24" i="5"/>
  <c r="T24" i="5"/>
  <c r="S24" i="5"/>
  <c r="W23" i="5"/>
  <c r="X23" i="5" s="1"/>
  <c r="Y23" i="5" s="1"/>
  <c r="V23" i="5"/>
  <c r="U23" i="5"/>
  <c r="T23" i="5"/>
  <c r="S23" i="5"/>
  <c r="W22" i="5"/>
  <c r="X22" i="5" s="1"/>
  <c r="Y22" i="5" s="1"/>
  <c r="V22" i="5"/>
  <c r="U22" i="5"/>
  <c r="T22" i="5"/>
  <c r="S22" i="5"/>
  <c r="X21" i="5"/>
  <c r="Y21" i="5" s="1"/>
  <c r="W21" i="5"/>
  <c r="V21" i="5"/>
  <c r="U21" i="5"/>
  <c r="T21" i="5"/>
  <c r="S21" i="5"/>
  <c r="W20" i="5"/>
  <c r="X20" i="5" s="1"/>
  <c r="Y20" i="5" s="1"/>
  <c r="V20" i="5"/>
  <c r="U20" i="5"/>
  <c r="T20" i="5"/>
  <c r="S20" i="5"/>
  <c r="W19" i="5"/>
  <c r="X19" i="5" s="1"/>
  <c r="Y19" i="5" s="1"/>
  <c r="V19" i="5"/>
  <c r="U19" i="5"/>
  <c r="T19" i="5"/>
  <c r="S19" i="5"/>
  <c r="W18" i="5"/>
  <c r="X18" i="5" s="1"/>
  <c r="Y18" i="5" s="1"/>
  <c r="V18" i="5"/>
  <c r="U18" i="5"/>
  <c r="T18" i="5"/>
  <c r="S18" i="5"/>
  <c r="X17" i="5"/>
  <c r="Y17" i="5" s="1"/>
  <c r="W17" i="5"/>
  <c r="V17" i="5"/>
  <c r="U17" i="5"/>
  <c r="T17" i="5"/>
  <c r="S17" i="5"/>
  <c r="W16" i="5"/>
  <c r="X16" i="5" s="1"/>
  <c r="Y16" i="5" s="1"/>
  <c r="V16" i="5"/>
  <c r="U16" i="5"/>
  <c r="T16" i="5"/>
  <c r="S16" i="5"/>
  <c r="X15" i="5"/>
  <c r="Y15" i="5" s="1"/>
  <c r="W15" i="5"/>
  <c r="V15" i="5"/>
  <c r="U15" i="5"/>
  <c r="T15" i="5"/>
  <c r="S15" i="5"/>
  <c r="W14" i="5"/>
  <c r="X14" i="5" s="1"/>
  <c r="Y14" i="5" s="1"/>
  <c r="V14" i="5"/>
  <c r="U14" i="5"/>
  <c r="T14" i="5"/>
  <c r="S14" i="5"/>
  <c r="W13" i="5"/>
  <c r="X13" i="5" s="1"/>
  <c r="Y13" i="5" s="1"/>
  <c r="V13" i="5"/>
  <c r="U13" i="5"/>
  <c r="T13" i="5"/>
  <c r="S13" i="5"/>
  <c r="W12" i="5"/>
  <c r="X12" i="5" s="1"/>
  <c r="Y12" i="5" s="1"/>
  <c r="V12" i="5"/>
  <c r="U12" i="5"/>
  <c r="T12" i="5"/>
  <c r="S12" i="5"/>
  <c r="W11" i="5"/>
  <c r="X11" i="5" s="1"/>
  <c r="Y11" i="5" s="1"/>
  <c r="V11" i="5"/>
  <c r="U11" i="5"/>
  <c r="T11" i="5"/>
  <c r="S11" i="5"/>
  <c r="W10" i="5"/>
  <c r="X10" i="5" s="1"/>
  <c r="Y10" i="5" s="1"/>
  <c r="V10" i="5"/>
  <c r="U10" i="5"/>
  <c r="T10" i="5"/>
  <c r="S10" i="5"/>
  <c r="W9" i="5"/>
  <c r="X9" i="5" s="1"/>
  <c r="Y9" i="5" s="1"/>
  <c r="V9" i="5"/>
  <c r="U9" i="5"/>
  <c r="T9" i="5"/>
  <c r="S9" i="5"/>
  <c r="W8" i="5"/>
  <c r="X8" i="5" s="1"/>
  <c r="V8" i="5"/>
  <c r="V41" i="5" s="1"/>
  <c r="U8" i="5"/>
  <c r="U41" i="5" s="1"/>
  <c r="T8" i="5"/>
  <c r="T41" i="5" s="1"/>
  <c r="S8" i="5"/>
  <c r="S41" i="5" s="1"/>
  <c r="X41" i="5" l="1"/>
  <c r="Y8" i="5"/>
  <c r="W41" i="5"/>
</calcChain>
</file>

<file path=xl/sharedStrings.xml><?xml version="1.0" encoding="utf-8"?>
<sst xmlns="http://schemas.openxmlformats.org/spreadsheetml/2006/main" count="440" uniqueCount="154">
  <si>
    <t>MATHEMATICS ASSESSMENT RESULTS</t>
  </si>
  <si>
    <t>Previous-year sample and current-year results</t>
  </si>
  <si>
    <t>52.5% → 58.6%
CLASS AVERAGE</t>
  </si>
  <si>
    <t>+6.1 pp
CHANGE</t>
  </si>
  <si>
    <t>+11.7%
GROWTH</t>
  </si>
  <si>
    <t>4 / 4
TOPICS HIGHER</t>
  </si>
  <si>
    <t>TOPIC RESULTS</t>
  </si>
  <si>
    <t>Topic</t>
  </si>
  <si>
    <t>Previous-year sample</t>
  </si>
  <si>
    <t>Current result</t>
  </si>
  <si>
    <t>Change (pp)</t>
  </si>
  <si>
    <t>Growth</t>
  </si>
  <si>
    <t>Number</t>
  </si>
  <si>
    <t>Algebra</t>
  </si>
  <si>
    <t>Shape</t>
  </si>
  <si>
    <t>Statistics &amp; Probability</t>
  </si>
  <si>
    <t>TEACHING FOLLOW-UP</t>
  </si>
  <si>
    <t>Number — mixed retrieval, reasoning and extension questions.</t>
  </si>
  <si>
    <t>Algebra — equation solving and algebraic manipulation; worked examples followed by independent practice.</t>
  </si>
  <si>
    <t>FOLLOW-UP CHECK</t>
  </si>
  <si>
    <t>Shape — angle and area errors; diagram-based practice.</t>
  </si>
  <si>
    <t>Short topic quizzes and later assessment questions.</t>
  </si>
  <si>
    <t>Statistics and Probability — averages and probability; retrieval and application questions.</t>
  </si>
  <si>
    <t>TOPIC ANALYSIS</t>
  </si>
  <si>
    <t>Finding</t>
  </si>
  <si>
    <t>Teaching action</t>
  </si>
  <si>
    <t>Check</t>
  </si>
  <si>
    <t>Strongest topic</t>
  </si>
  <si>
    <t>Mixed retrieval, reasoning and extension questions</t>
  </si>
  <si>
    <t>Topic quiz</t>
  </si>
  <si>
    <t>Lowest current topic</t>
  </si>
  <si>
    <t>Equation solving and algebraic manipulation</t>
  </si>
  <si>
    <t>Exit questions and short reassessment</t>
  </si>
  <si>
    <t>Further consolidation</t>
  </si>
  <si>
    <t>Angle and area practice using diagrams</t>
  </si>
  <si>
    <t>Independent questions</t>
  </si>
  <si>
    <t>Averages and probability retrieval/application</t>
  </si>
  <si>
    <t>Retrieval quiz</t>
  </si>
  <si>
    <t>Each row represents one student. Topic scores are aggregated directly from the supplied question-level assessment data.</t>
  </si>
  <si>
    <t>Student</t>
  </si>
  <si>
    <t>Number /20</t>
  </si>
  <si>
    <t>Algebra /17</t>
  </si>
  <si>
    <t>Shape /9</t>
  </si>
  <si>
    <t>Stats &amp; Prob /11</t>
  </si>
  <si>
    <t>Overall /57</t>
  </si>
  <si>
    <t>Student 01</t>
  </si>
  <si>
    <t>Student 02</t>
  </si>
  <si>
    <t>Student 03</t>
  </si>
  <si>
    <t>Student 04</t>
  </si>
  <si>
    <t>Student 05</t>
  </si>
  <si>
    <t>Student 06</t>
  </si>
  <si>
    <t>Student 07</t>
  </si>
  <si>
    <t>Student 08</t>
  </si>
  <si>
    <t>Student 09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</si>
  <si>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</si>
  <si>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</si>
  <si>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</si>
  <si>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</si>
  <si>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</si>
  <si>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</si>
  <si>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</si>
  <si>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</si>
  <si>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</si>
  <si>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</si>
  <si>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</si>
  <si>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</si>
  <si>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</si>
  <si>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</si>
  <si>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</si>
  <si>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</si>
  <si>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</si>
  <si>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</si>
  <si>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</si>
  <si>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</si>
  <si>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</si>
  <si>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</si>
  <si>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</si>
  <si>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Names removed. Question scores from the uploaded previous-year assessment have been grouped into comparable mathematical strands.</t>
  </si>
  <si>
    <t>Number /27</t>
  </si>
  <si>
    <t>Algebra /10</t>
  </si>
  <si>
    <t>Shape /17</t>
  </si>
  <si>
    <t>Stats &amp; Prob /8</t>
  </si>
  <si>
    <t>Overall /62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</si>
  <si>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</si>
  <si>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</si>
  <si>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</si>
  <si>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</si>
  <si>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</si>
  <si>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</si>
  <si>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</si>
  <si>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</si>
  <si>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</si>
  <si>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</si>
  <si>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</si>
  <si>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</si>
  <si>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</si>
  <si>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</si>
  <si>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ANONYMISED ASSESSMENT DATA</t>
  </si>
  <si>
    <t>NUMBER</t>
  </si>
  <si>
    <t>ALGEBRA</t>
  </si>
  <si>
    <t>SHAPE</t>
  </si>
  <si>
    <t>STATISTICS &amp; PROBABILITY</t>
  </si>
  <si>
    <t>CALCULATED VALUES</t>
  </si>
  <si>
    <t>Fraction operations</t>
  </si>
  <si>
    <t>Prime factor trees</t>
  </si>
  <si>
    <t>Divide into ratio</t>
  </si>
  <si>
    <t>FDP conversions</t>
  </si>
  <si>
    <t>Negative number</t>
  </si>
  <si>
    <t>Subtract negative</t>
  </si>
  <si>
    <t>BIDMAS</t>
  </si>
  <si>
    <t>Draw linear graph</t>
  </si>
  <si>
    <t>Sequence terms</t>
  </si>
  <si>
    <t>Perimeter expression</t>
  </si>
  <si>
    <t>Solve equations</t>
  </si>
  <si>
    <t>Draw shape from area</t>
  </si>
  <si>
    <t>Compound area</t>
  </si>
  <si>
    <t>Angle reasoning</t>
  </si>
  <si>
    <t>Tally chart</t>
  </si>
  <si>
    <t>Probability</t>
  </si>
  <si>
    <t>Averages &amp; range</t>
  </si>
  <si>
    <t>Number %</t>
  </si>
  <si>
    <t>Algebra %</t>
  </si>
  <si>
    <t>Shape %</t>
  </si>
  <si>
    <t>Stats/Prob %</t>
  </si>
  <si>
    <t>Total /57</t>
  </si>
  <si>
    <t>Overall %</t>
  </si>
  <si>
    <t>Grade</t>
  </si>
  <si>
    <t>Maximum mark</t>
  </si>
  <si>
    <t>57</t>
  </si>
  <si>
    <t>CLASS AVERAGE</t>
  </si>
  <si>
    <t>FORMULAS</t>
  </si>
  <si>
    <t>FORMULAS USED</t>
  </si>
  <si>
    <t>Calculated value</t>
  </si>
  <si>
    <t>Example Excel formula</t>
  </si>
  <si>
    <t>What it shows</t>
  </si>
  <si>
    <t>Why this strengthens the evidence</t>
  </si>
  <si>
    <t>=SUM(B8:H8)/SUM($B$7:$H$7)</t>
  </si>
  <si>
    <t>Number percentage</t>
  </si>
  <si>
    <t>=SUM(I8:L8)/SUM($I$7:$L$7)</t>
  </si>
  <si>
    <t>Algebra percentage</t>
  </si>
  <si>
    <t>=SUM(M8:O8)/SUM($M$7:$O$7)</t>
  </si>
  <si>
    <t>Shape percentage</t>
  </si>
  <si>
    <t>=SUM(P8:R8)/SUM($P$7:$R$7)</t>
  </si>
  <si>
    <t>Statistics/Probability percentage</t>
  </si>
  <si>
    <t>Total</t>
  </si>
  <si>
    <t>=SUM(B8:R8)</t>
  </si>
  <si>
    <t>Total mark</t>
  </si>
  <si>
    <t>=W8/$W$7</t>
  </si>
  <si>
    <t>Overall percentage</t>
  </si>
  <si>
    <t>=IF(X8&gt;=90%,7,IF(X8&gt;=75%,6,IF(X8&gt;=50%,5,...)))</t>
  </si>
  <si>
    <t>Class average</t>
  </si>
  <si>
    <t>=AVERAGE(X8:X39)</t>
  </si>
  <si>
    <t>2023/2024 Anonymised Topic-Level Raw Data</t>
  </si>
  <si>
    <t>2024/2025 Anonymised Topic-Level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</si>
</sst>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1"/>
      <name val="Carlito"/>
    </font>
    <font>
      <sz val="9"/>
      <name val="Aptos"/>
    </font>
    <font>
      <b/>
      <sz val="10"/>
      <color rgb="FFFFFFFF"/>
      <name val="Aptos"/>
    </font>
    <font>
      <sz val="9"/>
      <color rgb="FF17365D"/>
      <name val="Aptos"/>
    </font>
    <font>
      <b/>
      <sz val="12"/>
      <color rgb="FF375623"/>
      <name val="Aptos"/>
    </font>
    <font>
      <b/>
      <sz val="11"/>
      <color rgb="FFFFFFFF"/>
      <name val="Aptos"/>
    </font>
    <font>
      <b/>
      <sz val="9"/>
      <color rgb="FFFFFFFF"/>
      <name val="Aptos"/>
    </font>
    <font>
      <i/>
      <sz val="9"/>
      <color rgb="FF7F6000"/>
      <name val="Aptos"/>
    </font>
    <font>
      <b/>
      <sz val="15"/>
      <color rgb="FFFFFFFF"/>
      <name val="Aptos"/>
    </font>
    <font>
      <b/>
      <sz val="9"/>
      <color rgb="FF375623"/>
      <name val="Aptos"/>
    </font>
    <font>
      <b/>
      <sz val="19"/>
      <color rgb="FFFFFFFF"/>
      <name val="Aptos"/>
    </font>
    <font>
      <b/>
      <sz val="9"/>
      <color rgb="FF7F6000"/>
      <name val="Aptos"/>
    </font>
    <font>
      <sz val="8"/>
      <name val="Aptos"/>
    </font>
    <font>
      <b/>
      <sz val="17"/>
      <color rgb="FFFFFFFF"/>
      <name val="Aptos"/>
    </font>
    <font>
      <b/>
      <sz val="8"/>
      <color rgb="FFFFFFFF"/>
      <name val="Aptos"/>
    </font>
    <font>
      <b/>
      <sz val="8"/>
      <name val="Aptos"/>
    </font>
    <font>
      <i/>
      <sz val="9"/>
      <color rgb="FF17365D"/>
      <name val="Aptos"/>
    </font>
  </fonts>
  <fills count="1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Fill="1" applyBorder="1"/>
    <xf numFmtId="164" fontId="1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0" fontId="6" fillId="7" borderId="0" xfId="0" applyNumberFormat="1" applyFont="1" applyFill="1" applyBorder="1" applyAlignment="1">
      <alignment horizontal="center" wrapText="1"/>
    </xf>
    <xf numFmtId="0" fontId="1" fillId="11" borderId="0" xfId="0" applyNumberFormat="1" applyFont="1" applyFill="1" applyBorder="1" applyAlignment="1">
      <alignment vertical="center" wrapText="1"/>
    </xf>
    <xf numFmtId="0" fontId="3" fillId="12" borderId="0" xfId="0" applyNumberFormat="1" applyFont="1" applyFill="1" applyBorder="1" applyAlignment="1">
      <alignment vertical="center" wrapText="1"/>
    </xf>
    <xf numFmtId="0" fontId="7" fillId="9" borderId="0" xfId="0" applyNumberFormat="1" applyFont="1" applyFill="1" applyBorder="1" applyAlignment="1">
      <alignment vertical="center" wrapText="1"/>
    </xf>
    <xf numFmtId="0" fontId="8" fillId="7" borderId="0" xfId="0" applyNumberFormat="1" applyFont="1" applyFill="1" applyBorder="1" applyAlignment="1">
      <alignment horizontal="center"/>
    </xf>
    <xf numFmtId="0" fontId="3" fillId="12" borderId="0" xfId="0" applyNumberFormat="1" applyFont="1" applyFill="1" applyBorder="1" applyAlignment="1">
      <alignment horizontal="center" wrapText="1"/>
    </xf>
    <xf numFmtId="0" fontId="6" fillId="8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0" fontId="12" fillId="0" borderId="0" xfId="0" applyNumberFormat="1" applyFont="1" applyFill="1" applyBorder="1"/>
    <xf numFmtId="0" fontId="14" fillId="13" borderId="0" xfId="0" applyNumberFormat="1" applyFont="1" applyFill="1" applyBorder="1" applyAlignment="1">
      <alignment horizontal="center" vertical="center" wrapText="1"/>
    </xf>
    <xf numFmtId="0" fontId="15" fillId="16" borderId="0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/>
    <xf numFmtId="0" fontId="9" fillId="17" borderId="0" xfId="0" applyNumberFormat="1" applyFont="1" applyFill="1" applyBorder="1"/>
    <xf numFmtId="164" fontId="9" fillId="17" borderId="0" xfId="0" applyNumberFormat="1" applyFont="1" applyFill="1" applyBorder="1"/>
    <xf numFmtId="0" fontId="6" fillId="13" borderId="0" xfId="0" applyNumberFormat="1" applyFont="1" applyFill="1" applyBorder="1" applyAlignment="1">
      <alignment wrapText="1"/>
    </xf>
    <xf numFmtId="0" fontId="12" fillId="0" borderId="0" xfId="0" applyNumberFormat="1" applyFont="1" applyFill="1" applyBorder="1" applyAlignment="1">
      <alignment wrapText="1"/>
    </xf>
    <xf numFmtId="0" fontId="10" fillId="7" borderId="0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/>
    </xf>
    <xf numFmtId="0" fontId="11" fillId="9" borderId="0" xfId="0" applyNumberFormat="1" applyFont="1" applyFill="1" applyBorder="1" applyAlignment="1">
      <alignment horizontal="center" vertical="center" wrapText="1"/>
    </xf>
    <xf numFmtId="0" fontId="4" fillId="10" borderId="0" xfId="0" applyNumberFormat="1" applyFont="1" applyFill="1" applyBorder="1" applyAlignment="1">
      <alignment horizontal="center" vertical="center" wrapText="1"/>
    </xf>
    <xf numFmtId="0" fontId="5" fillId="8" borderId="0" xfId="0" applyNumberFormat="1" applyFont="1" applyFill="1" applyBorder="1" applyAlignment="1">
      <alignment horizontal="center"/>
    </xf>
    <xf numFmtId="0" fontId="6" fillId="3" borderId="0" xfId="0" applyNumberFormat="1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vertical="center" wrapText="1"/>
    </xf>
    <xf numFmtId="0" fontId="1" fillId="11" borderId="0" xfId="0" applyNumberFormat="1" applyFont="1" applyFill="1" applyBorder="1" applyAlignment="1">
      <alignment vertical="center" wrapText="1"/>
    </xf>
    <xf numFmtId="0" fontId="3" fillId="12" borderId="0" xfId="0" applyNumberFormat="1" applyFont="1" applyFill="1" applyBorder="1" applyAlignment="1">
      <alignment vertical="center" wrapText="1"/>
    </xf>
    <xf numFmtId="0" fontId="7" fillId="6" borderId="0" xfId="0" applyNumberFormat="1" applyFont="1" applyFill="1" applyBorder="1" applyAlignment="1">
      <alignment vertical="center" wrapText="1"/>
    </xf>
    <xf numFmtId="0" fontId="7" fillId="9" borderId="0" xfId="0" applyNumberFormat="1" applyFont="1" applyFill="1" applyBorder="1" applyAlignment="1">
      <alignment vertical="center" wrapText="1"/>
    </xf>
    <xf numFmtId="0" fontId="8" fillId="7" borderId="0" xfId="0" applyNumberFormat="1" applyFont="1" applyFill="1" applyBorder="1" applyAlignment="1">
      <alignment horizontal="center"/>
    </xf>
    <xf numFmtId="0" fontId="3" fillId="12" borderId="0" xfId="0" applyNumberFormat="1" applyFont="1" applyFill="1" applyBorder="1" applyAlignment="1">
      <alignment horizontal="center" wrapText="1"/>
    </xf>
    <xf numFmtId="0" fontId="16" fillId="14" borderId="0" xfId="0" applyNumberFormat="1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wrapText="1"/>
    </xf>
    <xf numFmtId="0" fontId="13" fillId="13" borderId="0" xfId="0" applyNumberFormat="1" applyFont="1" applyFill="1" applyBorder="1" applyAlignment="1">
      <alignment horizontal="center" vertical="center"/>
    </xf>
    <xf numFmtId="0" fontId="3" fillId="14" borderId="0" xfId="0" applyNumberFormat="1" applyFont="1" applyFill="1" applyBorder="1" applyAlignment="1">
      <alignment horizontal="center" wrapText="1"/>
    </xf>
    <xf numFmtId="0" fontId="6" fillId="15" borderId="0" xfId="0" applyNumberFormat="1" applyFont="1" applyFill="1" applyBorder="1" applyAlignment="1">
      <alignment horizontal="center"/>
    </xf>
    <xf numFmtId="0" fontId="5" fillId="15" borderId="0" xfId="0" applyNumberFormat="1" applyFont="1" applyFill="1" applyBorder="1" applyAlignment="1">
      <alignment horizontal="center"/>
    </xf>
    <xf numFmtId="0" fontId="2" fillId="13" borderId="0" xfId="0" applyNumberFormat="1" applyFont="1" applyFill="1" applyBorder="1" applyAlignment="1">
      <alignment horizontal="center"/>
    </xf>
    <xf numFmtId="0" fontId="1" fillId="18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Topic Results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Previous-year sample</c:v>
          </c:tx>
          <c:invertIfNegative val="1"/>
          <c:cat>
            <c:strRef>
              <c:f>'Impact Dashboard'!$G$17:$G$20</c:f>
              <c:strCache>
                <c:ptCount val="4"/>
                <c:pt idx="0">
                  <c:v>Number</c:v>
                </c:pt>
                <c:pt idx="1">
                  <c:v>Algebra</c:v>
                </c:pt>
                <c:pt idx="2">
                  <c:v>Shape</c:v>
                </c:pt>
                <c:pt idx="3">
                  <c:v>Statistics &amp; Probability</c:v>
                </c:pt>
              </c:strCache>
            </c:strRef>
          </c:cat>
          <c:val>
            <c:numRef>
              <c:f>'Impact Dashboard'!$H$17:$H$20</c:f>
              <c:numCache>
                <c:formatCode>0.0%</c:formatCode>
                <c:ptCount val="4"/>
                <c:pt idx="0">
                  <c:v>0.63</c:v>
                </c:pt>
                <c:pt idx="1">
                  <c:v>0.43</c:v>
                </c:pt>
                <c:pt idx="2">
                  <c:v>0.56000000000000005</c:v>
                </c:pt>
                <c:pt idx="3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C-4367-B78B-7A0141D22684}"/>
            </c:ext>
          </c:extLst>
        </c:ser>
        <c:ser>
          <c:idx val="1"/>
          <c:order val="1"/>
          <c:tx>
            <c:v>Current result</c:v>
          </c:tx>
          <c:invertIfNegative val="1"/>
          <c:cat>
            <c:strRef>
              <c:f>'Impact Dashboard'!$G$17:$G$20</c:f>
              <c:strCache>
                <c:ptCount val="4"/>
                <c:pt idx="0">
                  <c:v>Number</c:v>
                </c:pt>
                <c:pt idx="1">
                  <c:v>Algebra</c:v>
                </c:pt>
                <c:pt idx="2">
                  <c:v>Shape</c:v>
                </c:pt>
                <c:pt idx="3">
                  <c:v>Statistics &amp; Probability</c:v>
                </c:pt>
              </c:strCache>
            </c:strRef>
          </c:cat>
          <c:val>
            <c:numRef>
              <c:f>'Impact Dashboard'!$I$17:$I$20</c:f>
              <c:numCache>
                <c:formatCode>0.0%</c:formatCode>
                <c:ptCount val="4"/>
                <c:pt idx="0">
                  <c:v>0.7</c:v>
                </c:pt>
                <c:pt idx="1">
                  <c:v>0.47794117650000001</c:v>
                </c:pt>
                <c:pt idx="2">
                  <c:v>0.61805555560000003</c:v>
                </c:pt>
                <c:pt idx="3">
                  <c:v>0.52272727269999997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C-4367-B78B-7A0141D2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workbookViewId="0">
      <selection sqref="A1:L2"/>
    </sheetView>
  </sheetViews>
  <sheetFormatPr defaultRowHeight="14.25"/>
  <cols>
    <col min="1" max="12" width="13" customWidth="1"/>
  </cols>
  <sheetData>
    <row r="1" spans="1:12" ht="26.1" customHeight="1">
      <c r="A1" s="21" t="s">
        <v>0</v>
      </c>
      <c r="B1" s="21" t="s">
        <v>0</v>
      </c>
      <c r="C1" s="21" t="s">
        <v>0</v>
      </c>
      <c r="D1" s="21" t="s">
        <v>0</v>
      </c>
      <c r="E1" s="21" t="s">
        <v>0</v>
      </c>
      <c r="F1" s="21" t="s">
        <v>0</v>
      </c>
      <c r="G1" s="21" t="s">
        <v>0</v>
      </c>
      <c r="H1" s="21" t="s">
        <v>0</v>
      </c>
      <c r="I1" s="21" t="s">
        <v>0</v>
      </c>
      <c r="J1" s="21" t="s">
        <v>0</v>
      </c>
      <c r="K1" s="21" t="s">
        <v>0</v>
      </c>
      <c r="L1" s="21" t="s">
        <v>0</v>
      </c>
    </row>
    <row r="2" spans="1:12" ht="26.1" customHeight="1">
      <c r="A2" s="21" t="s">
        <v>0</v>
      </c>
      <c r="B2" s="21" t="s">
        <v>0</v>
      </c>
      <c r="C2" s="21" t="s">
        <v>0</v>
      </c>
      <c r="D2" s="21" t="s">
        <v>0</v>
      </c>
      <c r="E2" s="21" t="s">
        <v>0</v>
      </c>
      <c r="F2" s="21" t="s">
        <v>0</v>
      </c>
      <c r="G2" s="21" t="s">
        <v>0</v>
      </c>
      <c r="H2" s="21" t="s">
        <v>0</v>
      </c>
      <c r="I2" s="21" t="s">
        <v>0</v>
      </c>
      <c r="J2" s="21" t="s">
        <v>0</v>
      </c>
      <c r="K2" s="21" t="s">
        <v>0</v>
      </c>
      <c r="L2" s="21" t="s">
        <v>0</v>
      </c>
    </row>
    <row r="3" spans="1:12">
      <c r="A3" s="22" t="s">
        <v>1</v>
      </c>
      <c r="B3" s="22" t="s">
        <v>1</v>
      </c>
      <c r="C3" s="22" t="s">
        <v>1</v>
      </c>
      <c r="D3" s="22" t="s">
        <v>1</v>
      </c>
      <c r="E3" s="22" t="s">
        <v>1</v>
      </c>
      <c r="F3" s="22" t="s">
        <v>1</v>
      </c>
      <c r="G3" s="22" t="s">
        <v>1</v>
      </c>
      <c r="H3" s="22" t="s">
        <v>1</v>
      </c>
      <c r="I3" s="22" t="s">
        <v>1</v>
      </c>
      <c r="J3" s="22" t="s">
        <v>1</v>
      </c>
      <c r="K3" s="22" t="s">
        <v>1</v>
      </c>
      <c r="L3" s="22" t="s">
        <v>1</v>
      </c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ht="30" customHeigh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4" customHeight="1">
      <c r="A8" s="24" t="s">
        <v>2</v>
      </c>
      <c r="B8" s="24" t="s">
        <v>2</v>
      </c>
      <c r="C8" s="24" t="s">
        <v>2</v>
      </c>
      <c r="D8" s="24" t="s">
        <v>3</v>
      </c>
      <c r="E8" s="24" t="s">
        <v>3</v>
      </c>
      <c r="F8" s="24" t="s">
        <v>3</v>
      </c>
      <c r="G8" s="24" t="s">
        <v>4</v>
      </c>
      <c r="H8" s="24" t="s">
        <v>4</v>
      </c>
      <c r="I8" s="24" t="s">
        <v>4</v>
      </c>
      <c r="J8" s="24" t="s">
        <v>5</v>
      </c>
      <c r="K8" s="24" t="s">
        <v>5</v>
      </c>
      <c r="L8" s="24" t="s">
        <v>5</v>
      </c>
    </row>
    <row r="9" spans="1:12" ht="24" customHeight="1">
      <c r="A9" s="24" t="s">
        <v>2</v>
      </c>
      <c r="B9" s="24" t="s">
        <v>2</v>
      </c>
      <c r="C9" s="24" t="s">
        <v>2</v>
      </c>
      <c r="D9" s="24" t="s">
        <v>3</v>
      </c>
      <c r="E9" s="24" t="s">
        <v>3</v>
      </c>
      <c r="F9" s="24" t="s">
        <v>3</v>
      </c>
      <c r="G9" s="24" t="s">
        <v>4</v>
      </c>
      <c r="H9" s="24" t="s">
        <v>4</v>
      </c>
      <c r="I9" s="24" t="s">
        <v>4</v>
      </c>
      <c r="J9" s="24" t="s">
        <v>5</v>
      </c>
      <c r="K9" s="24" t="s">
        <v>5</v>
      </c>
      <c r="L9" s="24" t="s">
        <v>5</v>
      </c>
    </row>
    <row r="10" spans="1:12" ht="24" customHeight="1">
      <c r="A10" s="24" t="s">
        <v>2</v>
      </c>
      <c r="B10" s="24" t="s">
        <v>2</v>
      </c>
      <c r="C10" s="24" t="s">
        <v>2</v>
      </c>
      <c r="D10" s="24" t="s">
        <v>3</v>
      </c>
      <c r="E10" s="24" t="s">
        <v>3</v>
      </c>
      <c r="F10" s="24" t="s">
        <v>3</v>
      </c>
      <c r="G10" s="24" t="s">
        <v>4</v>
      </c>
      <c r="H10" s="24" t="s">
        <v>4</v>
      </c>
      <c r="I10" s="24" t="s">
        <v>4</v>
      </c>
      <c r="J10" s="24" t="s">
        <v>5</v>
      </c>
      <c r="K10" s="24" t="s">
        <v>5</v>
      </c>
      <c r="L10" s="24" t="s">
        <v>5</v>
      </c>
    </row>
    <row r="11" spans="1:12" ht="24" customHeight="1">
      <c r="A11" s="24" t="s">
        <v>2</v>
      </c>
      <c r="B11" s="24" t="s">
        <v>2</v>
      </c>
      <c r="C11" s="24" t="s">
        <v>2</v>
      </c>
      <c r="D11" s="24" t="s">
        <v>3</v>
      </c>
      <c r="E11" s="24" t="s">
        <v>3</v>
      </c>
      <c r="F11" s="24" t="s">
        <v>3</v>
      </c>
      <c r="G11" s="24" t="s">
        <v>4</v>
      </c>
      <c r="H11" s="24" t="s">
        <v>4</v>
      </c>
      <c r="I11" s="24" t="s">
        <v>4</v>
      </c>
      <c r="J11" s="24" t="s">
        <v>5</v>
      </c>
      <c r="K11" s="24" t="s">
        <v>5</v>
      </c>
      <c r="L11" s="24" t="s">
        <v>5</v>
      </c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>
      <c r="A14" s="25" t="s">
        <v>6</v>
      </c>
      <c r="B14" s="25" t="s">
        <v>6</v>
      </c>
      <c r="C14" s="25" t="s">
        <v>6</v>
      </c>
      <c r="D14" s="25" t="s">
        <v>6</v>
      </c>
      <c r="E14" s="25" t="s">
        <v>6</v>
      </c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>
      <c r="A16" s="4" t="s">
        <v>7</v>
      </c>
      <c r="B16" s="4" t="s">
        <v>8</v>
      </c>
      <c r="C16" s="4" t="s">
        <v>9</v>
      </c>
      <c r="D16" s="4" t="s">
        <v>10</v>
      </c>
      <c r="E16" s="4" t="s">
        <v>11</v>
      </c>
      <c r="F16" s="1"/>
      <c r="G16" s="1" t="s">
        <v>7</v>
      </c>
      <c r="H16" s="1" t="s">
        <v>8</v>
      </c>
      <c r="I16" s="1" t="s">
        <v>9</v>
      </c>
      <c r="J16" s="1"/>
      <c r="K16" s="1"/>
      <c r="L16" s="1"/>
    </row>
    <row r="17" spans="1:12">
      <c r="A17" s="1" t="s">
        <v>12</v>
      </c>
      <c r="B17" s="2">
        <v>0.63</v>
      </c>
      <c r="C17" s="2">
        <v>0.7</v>
      </c>
      <c r="D17" s="2">
        <v>6.9999999999999951E-2</v>
      </c>
      <c r="E17" s="2">
        <v>0.11111111111111104</v>
      </c>
      <c r="F17" s="1"/>
      <c r="G17" s="2" t="s">
        <v>12</v>
      </c>
      <c r="H17" s="2">
        <v>0.63</v>
      </c>
      <c r="I17" s="2">
        <v>0.7</v>
      </c>
      <c r="J17" s="1"/>
      <c r="K17" s="1"/>
      <c r="L17" s="1"/>
    </row>
    <row r="18" spans="1:12">
      <c r="A18" s="1" t="s">
        <v>13</v>
      </c>
      <c r="B18" s="2">
        <v>0.43</v>
      </c>
      <c r="C18" s="2">
        <v>0.47794117650000001</v>
      </c>
      <c r="D18" s="2">
        <v>4.7941176500000016E-2</v>
      </c>
      <c r="E18" s="2">
        <v>0.11149110813953492</v>
      </c>
      <c r="F18" s="1"/>
      <c r="G18" s="2" t="s">
        <v>13</v>
      </c>
      <c r="H18" s="2">
        <v>0.43</v>
      </c>
      <c r="I18" s="2">
        <v>0.47794117650000001</v>
      </c>
      <c r="J18" s="1"/>
      <c r="K18" s="1"/>
      <c r="L18" s="1"/>
    </row>
    <row r="19" spans="1:12">
      <c r="A19" s="1" t="s">
        <v>14</v>
      </c>
      <c r="B19" s="2">
        <v>0.56000000000000005</v>
      </c>
      <c r="C19" s="2">
        <v>0.61805555560000003</v>
      </c>
      <c r="D19" s="2">
        <v>5.8055555599999975E-2</v>
      </c>
      <c r="E19" s="2">
        <v>0.10367063499999994</v>
      </c>
      <c r="F19" s="1"/>
      <c r="G19" s="2" t="s">
        <v>14</v>
      </c>
      <c r="H19" s="2">
        <v>0.56000000000000005</v>
      </c>
      <c r="I19" s="2">
        <v>0.61805555560000003</v>
      </c>
      <c r="J19" s="1"/>
      <c r="K19" s="1"/>
      <c r="L19" s="1"/>
    </row>
    <row r="20" spans="1:12">
      <c r="A20" s="1" t="s">
        <v>15</v>
      </c>
      <c r="B20" s="2">
        <v>0.47</v>
      </c>
      <c r="C20" s="2">
        <v>0.52272727269999997</v>
      </c>
      <c r="D20" s="2">
        <v>5.2727272699999994E-2</v>
      </c>
      <c r="E20" s="2">
        <v>0.11218568659574467</v>
      </c>
      <c r="F20" s="1"/>
      <c r="G20" s="2" t="s">
        <v>15</v>
      </c>
      <c r="H20" s="2">
        <v>0.47</v>
      </c>
      <c r="I20" s="2">
        <v>0.52272727269999997</v>
      </c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26"/>
      <c r="B23" s="26"/>
      <c r="C23" s="26"/>
      <c r="D23" s="26"/>
      <c r="E23" s="26"/>
      <c r="F23" s="1"/>
      <c r="G23" s="1"/>
      <c r="H23" s="1"/>
      <c r="I23" s="1"/>
      <c r="J23" s="1"/>
      <c r="K23" s="1"/>
      <c r="L23" s="1"/>
    </row>
    <row r="24" spans="1:12" ht="15">
      <c r="A24" s="25" t="s">
        <v>16</v>
      </c>
      <c r="B24" s="25" t="s">
        <v>16</v>
      </c>
      <c r="C24" s="25" t="s">
        <v>16</v>
      </c>
      <c r="D24" s="25" t="s">
        <v>16</v>
      </c>
      <c r="E24" s="25" t="s">
        <v>16</v>
      </c>
      <c r="F24" s="25" t="s">
        <v>16</v>
      </c>
      <c r="G24" s="1"/>
      <c r="H24" s="1"/>
      <c r="I24" s="1"/>
      <c r="J24" s="1"/>
      <c r="K24" s="1"/>
      <c r="L24" s="1"/>
    </row>
    <row r="25" spans="1:12" ht="21.95" customHeight="1">
      <c r="A25" s="27"/>
      <c r="B25" s="27"/>
      <c r="C25" s="27"/>
      <c r="D25" s="27"/>
      <c r="E25" s="27"/>
      <c r="F25" s="1"/>
      <c r="G25" s="1"/>
      <c r="H25" s="1"/>
      <c r="I25" s="1"/>
      <c r="J25" s="1"/>
      <c r="K25" s="1"/>
      <c r="L25" s="1"/>
    </row>
    <row r="26" spans="1:12" ht="23.1" customHeight="1">
      <c r="A26" s="28" t="s">
        <v>17</v>
      </c>
      <c r="B26" s="28"/>
      <c r="C26" s="28"/>
      <c r="D26" s="28"/>
      <c r="E26" s="28"/>
      <c r="F26" s="5"/>
      <c r="G26" s="1"/>
      <c r="H26" s="1"/>
      <c r="I26" s="1"/>
      <c r="J26" s="1"/>
      <c r="K26" s="1"/>
      <c r="L26" s="1"/>
    </row>
    <row r="27" spans="1:12" ht="23.1" customHeight="1">
      <c r="A27" s="28"/>
      <c r="B27" s="28"/>
      <c r="C27" s="28"/>
      <c r="D27" s="28"/>
      <c r="E27" s="28"/>
      <c r="F27" s="5"/>
      <c r="G27" s="1"/>
      <c r="H27" s="1"/>
      <c r="I27" s="1"/>
      <c r="J27" s="1"/>
      <c r="K27" s="1"/>
      <c r="L27" s="1"/>
    </row>
    <row r="28" spans="1:12" ht="23.1" customHeight="1">
      <c r="A28" s="5"/>
      <c r="B28" s="5"/>
      <c r="C28" s="5"/>
      <c r="D28" s="5"/>
      <c r="E28" s="5"/>
      <c r="F28" s="5"/>
      <c r="G28" s="1"/>
      <c r="H28" s="1"/>
      <c r="I28" s="1"/>
      <c r="J28" s="1"/>
      <c r="K28" s="1"/>
      <c r="L28" s="1"/>
    </row>
    <row r="29" spans="1:12" ht="23.1" customHeight="1">
      <c r="A29" s="27"/>
      <c r="B29" s="27"/>
      <c r="C29" s="27"/>
      <c r="D29" s="27"/>
      <c r="E29" s="27"/>
      <c r="F29" s="1"/>
      <c r="G29" s="1"/>
      <c r="H29" s="1"/>
      <c r="I29" s="1"/>
      <c r="J29" s="1"/>
      <c r="K29" s="1"/>
      <c r="L29" s="1"/>
    </row>
    <row r="30" spans="1:12" ht="23.1" customHeight="1">
      <c r="A30" s="28" t="s">
        <v>18</v>
      </c>
      <c r="B30" s="28"/>
      <c r="C30" s="28"/>
      <c r="D30" s="28"/>
      <c r="E30" s="28"/>
      <c r="F30" s="5"/>
      <c r="G30" s="1"/>
      <c r="H30" s="1"/>
      <c r="I30" s="1"/>
      <c r="J30" s="1"/>
      <c r="K30" s="1"/>
      <c r="L30" s="1"/>
    </row>
    <row r="31" spans="1:12" ht="23.1" customHeight="1">
      <c r="A31" s="28"/>
      <c r="B31" s="28"/>
      <c r="C31" s="28"/>
      <c r="D31" s="28"/>
      <c r="E31" s="28"/>
      <c r="F31" s="5"/>
      <c r="G31" s="1"/>
      <c r="H31" s="1"/>
      <c r="I31" s="1"/>
      <c r="J31" s="1"/>
      <c r="K31" s="1"/>
      <c r="L31" s="1"/>
    </row>
    <row r="32" spans="1:12" ht="23.1" customHeight="1">
      <c r="A32" s="5"/>
      <c r="B32" s="5"/>
      <c r="C32" s="5"/>
      <c r="D32" s="5"/>
      <c r="E32" s="5"/>
      <c r="F32" s="5"/>
      <c r="G32" s="26"/>
      <c r="H32" s="25" t="s">
        <v>19</v>
      </c>
      <c r="I32" s="25" t="s">
        <v>19</v>
      </c>
      <c r="J32" s="25" t="s">
        <v>19</v>
      </c>
      <c r="K32" s="25" t="s">
        <v>19</v>
      </c>
      <c r="L32" s="25" t="s">
        <v>19</v>
      </c>
    </row>
    <row r="33" spans="1:12" ht="23.1" customHeight="1">
      <c r="A33" s="27"/>
      <c r="B33" s="27"/>
      <c r="C33" s="27"/>
      <c r="D33" s="27"/>
      <c r="E33" s="27"/>
      <c r="F33" s="1"/>
      <c r="G33" s="1"/>
      <c r="H33" s="1"/>
      <c r="I33" s="1"/>
      <c r="J33" s="1"/>
      <c r="K33" s="1"/>
      <c r="L33" s="1"/>
    </row>
    <row r="34" spans="1:12" ht="23.1" customHeight="1">
      <c r="A34" s="28" t="s">
        <v>20</v>
      </c>
      <c r="B34" s="28"/>
      <c r="C34" s="28"/>
      <c r="D34" s="28"/>
      <c r="E34" s="28"/>
      <c r="F34" s="5"/>
      <c r="G34" s="27"/>
      <c r="H34" s="29" t="s">
        <v>21</v>
      </c>
      <c r="I34" s="29"/>
      <c r="J34" s="29"/>
      <c r="K34" s="29"/>
      <c r="L34" s="29"/>
    </row>
    <row r="35" spans="1:12" ht="23.1" customHeight="1">
      <c r="A35" s="28"/>
      <c r="B35" s="28"/>
      <c r="C35" s="28"/>
      <c r="D35" s="28"/>
      <c r="E35" s="28"/>
      <c r="F35" s="5"/>
      <c r="G35" s="27"/>
      <c r="H35" s="29"/>
      <c r="I35" s="29"/>
      <c r="J35" s="29"/>
      <c r="K35" s="29"/>
      <c r="L35" s="29"/>
    </row>
    <row r="36" spans="1:12" ht="23.1" customHeight="1">
      <c r="A36" s="5"/>
      <c r="B36" s="5"/>
      <c r="C36" s="5"/>
      <c r="D36" s="5"/>
      <c r="E36" s="5"/>
      <c r="F36" s="5"/>
      <c r="G36" s="27"/>
      <c r="H36" s="29"/>
      <c r="I36" s="29"/>
      <c r="J36" s="29"/>
      <c r="K36" s="29"/>
      <c r="L36" s="29"/>
    </row>
    <row r="37" spans="1:12" ht="23.1" customHeight="1">
      <c r="A37" s="1"/>
      <c r="B37" s="1"/>
      <c r="C37" s="1"/>
      <c r="D37" s="1"/>
      <c r="E37" s="1"/>
      <c r="F37" s="1"/>
      <c r="G37" s="27"/>
      <c r="H37" s="29"/>
      <c r="I37" s="29"/>
      <c r="J37" s="29"/>
      <c r="K37" s="29"/>
      <c r="L37" s="29"/>
    </row>
    <row r="38" spans="1:12" ht="23.1" customHeight="1">
      <c r="A38" s="28" t="s">
        <v>22</v>
      </c>
      <c r="B38" s="28"/>
      <c r="C38" s="28"/>
      <c r="D38" s="28"/>
      <c r="E38" s="28"/>
      <c r="F38" s="28"/>
      <c r="G38" s="27"/>
      <c r="H38" s="29"/>
      <c r="I38" s="29"/>
      <c r="J38" s="29"/>
      <c r="K38" s="29"/>
      <c r="L38" s="29"/>
    </row>
    <row r="39" spans="1:12" ht="23.1" customHeight="1">
      <c r="A39" s="28"/>
      <c r="B39" s="28"/>
      <c r="C39" s="28"/>
      <c r="D39" s="28"/>
      <c r="E39" s="28"/>
      <c r="F39" s="28"/>
      <c r="G39" s="27"/>
      <c r="H39" s="29"/>
      <c r="I39" s="29"/>
      <c r="J39" s="29"/>
      <c r="K39" s="29"/>
      <c r="L39" s="29"/>
    </row>
    <row r="40" spans="1:12" ht="23.1" customHeight="1">
      <c r="A40" s="28"/>
      <c r="B40" s="28"/>
      <c r="C40" s="28"/>
      <c r="D40" s="28"/>
      <c r="E40" s="28"/>
      <c r="F40" s="28"/>
      <c r="G40" s="1"/>
      <c r="H40" s="6"/>
      <c r="I40" s="6"/>
      <c r="J40" s="6"/>
      <c r="K40" s="6"/>
      <c r="L40" s="6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</row>
    <row r="43" spans="1:12" ht="23.1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3.1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1:12" ht="23.1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17">
    <mergeCell ref="G32:L32"/>
    <mergeCell ref="G34:L39"/>
    <mergeCell ref="A42:L44"/>
    <mergeCell ref="A24:F24"/>
    <mergeCell ref="A38:F40"/>
    <mergeCell ref="A14:E14"/>
    <mergeCell ref="A23:E23"/>
    <mergeCell ref="A25:E27"/>
    <mergeCell ref="A29:E31"/>
    <mergeCell ref="A33:E35"/>
    <mergeCell ref="A1:L2"/>
    <mergeCell ref="A3:L3"/>
    <mergeCell ref="A5:L6"/>
    <mergeCell ref="A8:C11"/>
    <mergeCell ref="D8:F11"/>
    <mergeCell ref="G8:I11"/>
    <mergeCell ref="J8:L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"/>
  <sheetViews>
    <sheetView workbookViewId="0">
      <selection activeCell="C30" sqref="C30"/>
    </sheetView>
  </sheetViews>
  <sheetFormatPr defaultRowHeight="14.25"/>
  <cols>
    <col min="1" max="1" width="23" customWidth="1"/>
    <col min="2" max="5" width="17" customWidth="1"/>
    <col min="6" max="8" width="30" customWidth="1"/>
  </cols>
  <sheetData>
    <row r="1" spans="1:12" ht="19.5">
      <c r="A1" s="32" t="s">
        <v>23</v>
      </c>
      <c r="B1" s="32" t="s">
        <v>23</v>
      </c>
      <c r="C1" s="32" t="s">
        <v>23</v>
      </c>
      <c r="D1" s="32" t="s">
        <v>23</v>
      </c>
      <c r="E1" s="32" t="s">
        <v>23</v>
      </c>
      <c r="F1" s="32" t="s">
        <v>23</v>
      </c>
      <c r="G1" s="32" t="s">
        <v>23</v>
      </c>
      <c r="H1" s="8" t="s">
        <v>23</v>
      </c>
      <c r="I1" s="1"/>
      <c r="J1" s="1"/>
      <c r="K1" s="1"/>
      <c r="L1" s="1"/>
    </row>
    <row r="2" spans="1:12">
      <c r="A2" s="33"/>
      <c r="B2" s="33"/>
      <c r="C2" s="33"/>
      <c r="D2" s="33"/>
      <c r="E2" s="33"/>
      <c r="F2" s="33"/>
      <c r="G2" s="33"/>
      <c r="H2" s="9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0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10" t="s">
        <v>24</v>
      </c>
      <c r="G4" s="10" t="s">
        <v>25</v>
      </c>
      <c r="H4" s="10" t="s">
        <v>26</v>
      </c>
      <c r="I4" s="1"/>
      <c r="J4" s="1"/>
      <c r="K4" s="1"/>
      <c r="L4" s="1"/>
    </row>
    <row r="5" spans="1:12" ht="48" customHeight="1">
      <c r="A5" s="11" t="s">
        <v>12</v>
      </c>
      <c r="B5" s="12">
        <v>0.63</v>
      </c>
      <c r="C5" s="12">
        <v>0.7</v>
      </c>
      <c r="D5" s="12">
        <v>6.9999999999999951E-2</v>
      </c>
      <c r="E5" s="12">
        <v>0.11111111111111104</v>
      </c>
      <c r="F5" s="11" t="s">
        <v>27</v>
      </c>
      <c r="G5" s="11" t="s">
        <v>28</v>
      </c>
      <c r="H5" s="11" t="s">
        <v>29</v>
      </c>
      <c r="I5" s="1"/>
      <c r="J5" s="1"/>
      <c r="K5" s="1"/>
      <c r="L5" s="1"/>
    </row>
    <row r="6" spans="1:12" ht="48" customHeight="1">
      <c r="A6" s="11" t="s">
        <v>13</v>
      </c>
      <c r="B6" s="12">
        <v>0.43</v>
      </c>
      <c r="C6" s="12">
        <v>0.47794117650000001</v>
      </c>
      <c r="D6" s="12">
        <v>4.7941176500000016E-2</v>
      </c>
      <c r="E6" s="12">
        <v>0.11149110813953492</v>
      </c>
      <c r="F6" s="11" t="s">
        <v>30</v>
      </c>
      <c r="G6" s="11" t="s">
        <v>31</v>
      </c>
      <c r="H6" s="11" t="s">
        <v>32</v>
      </c>
      <c r="I6" s="1"/>
      <c r="J6" s="1"/>
      <c r="K6" s="1"/>
      <c r="L6" s="1"/>
    </row>
    <row r="7" spans="1:12" ht="48" customHeight="1">
      <c r="A7" s="11" t="s">
        <v>14</v>
      </c>
      <c r="B7" s="12">
        <v>0.56000000000000005</v>
      </c>
      <c r="C7" s="12">
        <v>0.61805555560000003</v>
      </c>
      <c r="D7" s="12">
        <v>5.8055555599999975E-2</v>
      </c>
      <c r="E7" s="12">
        <v>0.10367063499999994</v>
      </c>
      <c r="F7" s="11" t="s">
        <v>33</v>
      </c>
      <c r="G7" s="11" t="s">
        <v>34</v>
      </c>
      <c r="H7" s="11" t="s">
        <v>35</v>
      </c>
      <c r="I7" s="1"/>
      <c r="J7" s="1"/>
      <c r="K7" s="1"/>
      <c r="L7" s="1"/>
    </row>
    <row r="8" spans="1:12" ht="48" customHeight="1">
      <c r="A8" s="11" t="s">
        <v>15</v>
      </c>
      <c r="B8" s="12">
        <v>0.47</v>
      </c>
      <c r="C8" s="12">
        <v>0.52272727269999997</v>
      </c>
      <c r="D8" s="12">
        <v>5.2727272699999994E-2</v>
      </c>
      <c r="E8" s="12">
        <v>0.11218568659574467</v>
      </c>
      <c r="F8" s="11" t="s">
        <v>33</v>
      </c>
      <c r="G8" s="11" t="s">
        <v>36</v>
      </c>
      <c r="H8" s="11" t="s">
        <v>37</v>
      </c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34"/>
      <c r="B11" s="34"/>
      <c r="C11" s="34"/>
      <c r="D11" s="34"/>
      <c r="E11" s="34"/>
      <c r="F11" s="34"/>
      <c r="G11" s="34"/>
      <c r="H11" s="34"/>
      <c r="I11" s="1"/>
      <c r="J11" s="1"/>
      <c r="K11" s="1"/>
      <c r="L11" s="1"/>
    </row>
    <row r="12" spans="1:12">
      <c r="A12" s="34"/>
      <c r="B12" s="34"/>
      <c r="C12" s="34"/>
      <c r="D12" s="34"/>
      <c r="E12" s="34"/>
      <c r="F12" s="34"/>
      <c r="G12" s="34"/>
      <c r="H12" s="34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">
    <mergeCell ref="A1:G1"/>
    <mergeCell ref="A2:G2"/>
    <mergeCell ref="A11:H12"/>
  </mergeCells>
  <conditionalFormatting sqref="D5:D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workbookViewId="0">
      <selection activeCell="I15" sqref="I15"/>
    </sheetView>
  </sheetViews>
  <sheetFormatPr defaultRowHeight="14.25"/>
  <cols>
    <col min="1" max="6" width="16" customWidth="1"/>
  </cols>
  <sheetData>
    <row r="1" spans="1:12" ht="19.5">
      <c r="A1" s="35" t="s">
        <v>153</v>
      </c>
      <c r="B1" s="35"/>
      <c r="C1" s="35"/>
      <c r="D1" s="35"/>
      <c r="E1" s="35"/>
      <c r="F1" s="35"/>
      <c r="G1" s="1"/>
      <c r="H1" s="1"/>
      <c r="I1" s="1"/>
      <c r="J1" s="1"/>
      <c r="K1" s="1"/>
      <c r="L1" s="1"/>
    </row>
    <row r="2" spans="1:12">
      <c r="A2" s="36" t="s">
        <v>38</v>
      </c>
      <c r="B2" s="36"/>
      <c r="C2" s="36"/>
      <c r="D2" s="36"/>
      <c r="E2" s="36"/>
      <c r="F2" s="36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1"/>
      <c r="H4" s="1"/>
      <c r="I4" s="1"/>
      <c r="J4" s="1"/>
      <c r="K4" s="1"/>
      <c r="L4" s="1"/>
    </row>
    <row r="5" spans="1:12" ht="18" customHeight="1">
      <c r="A5" s="1" t="s">
        <v>45</v>
      </c>
      <c r="B5" s="1">
        <v>19</v>
      </c>
      <c r="C5" s="1">
        <v>17</v>
      </c>
      <c r="D5" s="1">
        <v>9</v>
      </c>
      <c r="E5" s="1">
        <v>10</v>
      </c>
      <c r="F5" s="1">
        <v>55</v>
      </c>
      <c r="G5" s="1"/>
      <c r="H5" s="1"/>
      <c r="I5" s="1"/>
      <c r="J5" s="1"/>
      <c r="K5" s="1"/>
      <c r="L5" s="1"/>
    </row>
    <row r="6" spans="1:12" ht="18" customHeight="1">
      <c r="A6" s="1" t="s">
        <v>46</v>
      </c>
      <c r="B6" s="1">
        <v>20</v>
      </c>
      <c r="C6" s="1">
        <v>15</v>
      </c>
      <c r="D6" s="1">
        <v>9</v>
      </c>
      <c r="E6" s="1">
        <v>11</v>
      </c>
      <c r="F6" s="1">
        <v>55</v>
      </c>
      <c r="G6" s="1"/>
      <c r="H6" s="1"/>
      <c r="I6" s="1"/>
      <c r="J6" s="1"/>
      <c r="K6" s="1"/>
      <c r="L6" s="1"/>
    </row>
    <row r="7" spans="1:12" ht="18" customHeight="1">
      <c r="A7" s="1" t="s">
        <v>47</v>
      </c>
      <c r="B7" s="1">
        <v>17</v>
      </c>
      <c r="C7" s="1">
        <v>17</v>
      </c>
      <c r="D7" s="1">
        <v>9</v>
      </c>
      <c r="E7" s="1">
        <v>10</v>
      </c>
      <c r="F7" s="1">
        <v>53</v>
      </c>
      <c r="G7" s="1"/>
      <c r="H7" s="1"/>
      <c r="I7" s="1"/>
      <c r="J7" s="1"/>
      <c r="K7" s="1"/>
      <c r="L7" s="1"/>
    </row>
    <row r="8" spans="1:12" ht="18" customHeight="1">
      <c r="A8" s="1" t="s">
        <v>48</v>
      </c>
      <c r="B8" s="1">
        <v>20</v>
      </c>
      <c r="C8" s="1">
        <v>17</v>
      </c>
      <c r="D8" s="1">
        <v>9</v>
      </c>
      <c r="E8" s="1">
        <v>7</v>
      </c>
      <c r="F8" s="1">
        <v>53</v>
      </c>
      <c r="G8" s="1"/>
      <c r="H8" s="1"/>
      <c r="I8" s="1"/>
      <c r="J8" s="1"/>
      <c r="K8" s="1"/>
      <c r="L8" s="1"/>
    </row>
    <row r="9" spans="1:12" ht="18" customHeight="1">
      <c r="A9" s="1" t="s">
        <v>49</v>
      </c>
      <c r="B9" s="1">
        <v>18</v>
      </c>
      <c r="C9" s="1">
        <v>15</v>
      </c>
      <c r="D9" s="1">
        <v>9</v>
      </c>
      <c r="E9" s="1">
        <v>11</v>
      </c>
      <c r="F9" s="1">
        <v>53</v>
      </c>
      <c r="G9" s="1"/>
      <c r="H9" s="1"/>
      <c r="I9" s="1"/>
      <c r="J9" s="1"/>
      <c r="K9" s="1"/>
      <c r="L9" s="1"/>
    </row>
    <row r="10" spans="1:12" ht="18" customHeight="1">
      <c r="A10" s="1" t="s">
        <v>50</v>
      </c>
      <c r="B10" s="1">
        <v>19</v>
      </c>
      <c r="C10" s="1">
        <v>11</v>
      </c>
      <c r="D10" s="1">
        <v>9</v>
      </c>
      <c r="E10" s="1">
        <v>11</v>
      </c>
      <c r="F10" s="1">
        <v>50</v>
      </c>
      <c r="G10" s="1"/>
      <c r="H10" s="1"/>
      <c r="I10" s="1"/>
      <c r="J10" s="1"/>
      <c r="K10" s="1"/>
      <c r="L10" s="1"/>
    </row>
    <row r="11" spans="1:12" ht="18" customHeight="1">
      <c r="A11" s="1" t="s">
        <v>51</v>
      </c>
      <c r="B11" s="1">
        <v>19</v>
      </c>
      <c r="C11" s="1">
        <v>15</v>
      </c>
      <c r="D11" s="1">
        <v>8</v>
      </c>
      <c r="E11" s="1">
        <v>8</v>
      </c>
      <c r="F11" s="1">
        <v>50</v>
      </c>
      <c r="G11" s="1"/>
      <c r="H11" s="1"/>
      <c r="I11" s="1"/>
      <c r="J11" s="1"/>
      <c r="K11" s="1"/>
      <c r="L11" s="1"/>
    </row>
    <row r="12" spans="1:12" ht="18" customHeight="1">
      <c r="A12" s="1" t="s">
        <v>52</v>
      </c>
      <c r="B12" s="1">
        <v>20</v>
      </c>
      <c r="C12" s="1">
        <v>11</v>
      </c>
      <c r="D12" s="1">
        <v>9</v>
      </c>
      <c r="E12" s="1">
        <v>8</v>
      </c>
      <c r="F12" s="1">
        <v>48</v>
      </c>
      <c r="G12" s="1"/>
      <c r="H12" s="1"/>
      <c r="I12" s="1"/>
      <c r="J12" s="1"/>
      <c r="K12" s="1"/>
      <c r="L12" s="1"/>
    </row>
    <row r="13" spans="1:12" ht="18" customHeight="1">
      <c r="A13" s="1" t="s">
        <v>53</v>
      </c>
      <c r="B13" s="1">
        <v>17</v>
      </c>
      <c r="C13" s="1">
        <v>14</v>
      </c>
      <c r="D13" s="1">
        <v>9</v>
      </c>
      <c r="E13" s="1">
        <v>8</v>
      </c>
      <c r="F13" s="1">
        <v>48</v>
      </c>
      <c r="G13" s="1"/>
      <c r="H13" s="1"/>
      <c r="I13" s="1"/>
      <c r="J13" s="1"/>
      <c r="K13" s="1"/>
      <c r="L13" s="1"/>
    </row>
    <row r="14" spans="1:12" ht="18" customHeight="1">
      <c r="A14" s="1" t="s">
        <v>54</v>
      </c>
      <c r="B14" s="1">
        <v>18</v>
      </c>
      <c r="C14" s="1">
        <v>10</v>
      </c>
      <c r="D14" s="1">
        <v>9</v>
      </c>
      <c r="E14" s="1">
        <v>10</v>
      </c>
      <c r="F14" s="1">
        <v>47</v>
      </c>
      <c r="G14" s="1"/>
      <c r="H14" s="1"/>
      <c r="I14" s="1"/>
      <c r="J14" s="1"/>
      <c r="K14" s="1"/>
      <c r="L14" s="1"/>
    </row>
    <row r="15" spans="1:12" ht="18" customHeight="1">
      <c r="A15" s="1" t="s">
        <v>55</v>
      </c>
      <c r="B15" s="1">
        <v>16</v>
      </c>
      <c r="C15" s="1">
        <v>15</v>
      </c>
      <c r="D15" s="1">
        <v>7</v>
      </c>
      <c r="E15" s="1">
        <v>5</v>
      </c>
      <c r="F15" s="1">
        <v>43</v>
      </c>
      <c r="G15" s="1"/>
      <c r="H15" s="1"/>
      <c r="I15" s="1"/>
      <c r="J15" s="1"/>
      <c r="K15" s="1"/>
      <c r="L15" s="1"/>
    </row>
    <row r="16" spans="1:12" ht="18" customHeight="1">
      <c r="A16" s="1" t="s">
        <v>56</v>
      </c>
      <c r="B16" s="1">
        <v>18</v>
      </c>
      <c r="C16" s="1">
        <v>15</v>
      </c>
      <c r="D16" s="1">
        <v>6</v>
      </c>
      <c r="E16" s="1">
        <v>4</v>
      </c>
      <c r="F16" s="1">
        <v>43</v>
      </c>
      <c r="G16" s="1"/>
      <c r="H16" s="1"/>
      <c r="I16" s="1"/>
      <c r="J16" s="1"/>
      <c r="K16" s="1"/>
      <c r="L16" s="1"/>
    </row>
    <row r="17" spans="1:12" ht="18" customHeight="1">
      <c r="A17" s="1" t="s">
        <v>57</v>
      </c>
      <c r="B17" s="1">
        <v>19</v>
      </c>
      <c r="C17" s="1">
        <v>7</v>
      </c>
      <c r="D17" s="1">
        <v>9</v>
      </c>
      <c r="E17" s="1">
        <v>6</v>
      </c>
      <c r="F17" s="1">
        <v>41</v>
      </c>
      <c r="G17" s="1"/>
      <c r="H17" s="1"/>
      <c r="I17" s="1"/>
      <c r="J17" s="1"/>
      <c r="K17" s="1"/>
      <c r="L17" s="1"/>
    </row>
    <row r="18" spans="1:12" ht="18" customHeight="1">
      <c r="A18" s="1" t="s">
        <v>58</v>
      </c>
      <c r="B18" s="1">
        <v>17</v>
      </c>
      <c r="C18" s="1">
        <v>9</v>
      </c>
      <c r="D18" s="1">
        <v>6</v>
      </c>
      <c r="E18" s="1">
        <v>8</v>
      </c>
      <c r="F18" s="1">
        <v>40</v>
      </c>
      <c r="G18" s="1"/>
      <c r="H18" s="1"/>
      <c r="I18" s="1"/>
      <c r="J18" s="1"/>
      <c r="K18" s="1"/>
      <c r="L18" s="1"/>
    </row>
    <row r="19" spans="1:12" ht="18" customHeight="1">
      <c r="A19" s="1" t="s">
        <v>59</v>
      </c>
      <c r="B19" s="1">
        <v>16</v>
      </c>
      <c r="C19" s="1">
        <v>9</v>
      </c>
      <c r="D19" s="1">
        <v>9</v>
      </c>
      <c r="E19" s="1">
        <v>6</v>
      </c>
      <c r="F19" s="1">
        <v>40</v>
      </c>
      <c r="G19" s="1"/>
      <c r="H19" s="1"/>
      <c r="I19" s="1"/>
      <c r="J19" s="1"/>
      <c r="K19" s="1"/>
      <c r="L19" s="1"/>
    </row>
    <row r="20" spans="1:12" ht="18" customHeight="1">
      <c r="A20" s="1" t="s">
        <v>60</v>
      </c>
      <c r="B20" s="1">
        <v>17</v>
      </c>
      <c r="C20" s="1">
        <v>6</v>
      </c>
      <c r="D20" s="1">
        <v>7</v>
      </c>
      <c r="E20" s="1">
        <v>3</v>
      </c>
      <c r="F20" s="1">
        <v>33</v>
      </c>
      <c r="G20" s="1"/>
      <c r="H20" s="1"/>
      <c r="I20" s="1"/>
      <c r="J20" s="1"/>
      <c r="K20" s="1"/>
      <c r="L20" s="1"/>
    </row>
    <row r="21" spans="1:12" ht="18" customHeight="1">
      <c r="A21" s="1" t="s">
        <v>61</v>
      </c>
      <c r="B21" s="1">
        <v>16</v>
      </c>
      <c r="C21" s="1">
        <v>7</v>
      </c>
      <c r="D21" s="1">
        <v>7</v>
      </c>
      <c r="E21" s="1">
        <v>1</v>
      </c>
      <c r="F21" s="1">
        <v>31</v>
      </c>
      <c r="G21" s="1"/>
      <c r="H21" s="1"/>
      <c r="I21" s="1"/>
      <c r="J21" s="1"/>
      <c r="K21" s="1"/>
      <c r="L21" s="1"/>
    </row>
    <row r="22" spans="1:12" ht="18" customHeight="1">
      <c r="A22" s="1" t="s">
        <v>62</v>
      </c>
      <c r="B22" s="1">
        <v>16</v>
      </c>
      <c r="C22" s="1">
        <v>10</v>
      </c>
      <c r="D22" s="1">
        <v>3</v>
      </c>
      <c r="E22" s="1">
        <v>2</v>
      </c>
      <c r="F22" s="1">
        <v>31</v>
      </c>
      <c r="G22" s="1"/>
      <c r="H22" s="1"/>
      <c r="I22" s="1"/>
      <c r="J22" s="1"/>
      <c r="K22" s="1"/>
      <c r="L22" s="1"/>
    </row>
    <row r="23" spans="1:12" ht="18" customHeight="1">
      <c r="A23" s="1" t="s">
        <v>63</v>
      </c>
      <c r="B23" s="1">
        <v>11</v>
      </c>
      <c r="C23" s="1">
        <v>5</v>
      </c>
      <c r="D23" s="1">
        <v>6</v>
      </c>
      <c r="E23" s="1">
        <v>8</v>
      </c>
      <c r="F23" s="1">
        <v>30</v>
      </c>
      <c r="G23" s="1"/>
      <c r="H23" s="1"/>
      <c r="I23" s="1"/>
      <c r="J23" s="1"/>
      <c r="K23" s="1"/>
      <c r="L23" s="1"/>
    </row>
    <row r="24" spans="1:12" ht="18" customHeight="1">
      <c r="A24" s="1" t="s">
        <v>64</v>
      </c>
      <c r="B24" s="1">
        <v>12</v>
      </c>
      <c r="C24" s="1">
        <v>11</v>
      </c>
      <c r="D24" s="1">
        <v>5</v>
      </c>
      <c r="E24" s="1">
        <v>0</v>
      </c>
      <c r="F24" s="1">
        <v>28</v>
      </c>
      <c r="G24" s="1"/>
      <c r="H24" s="1"/>
      <c r="I24" s="1"/>
      <c r="J24" s="1"/>
      <c r="K24" s="1"/>
      <c r="L24" s="1"/>
    </row>
    <row r="25" spans="1:12" ht="18" customHeight="1">
      <c r="A25" s="1" t="s">
        <v>65</v>
      </c>
      <c r="B25" s="1">
        <v>14</v>
      </c>
      <c r="C25" s="1">
        <v>4</v>
      </c>
      <c r="D25" s="1">
        <v>2</v>
      </c>
      <c r="E25" s="1">
        <v>9</v>
      </c>
      <c r="F25" s="1">
        <v>29</v>
      </c>
      <c r="G25" s="1"/>
      <c r="H25" s="1"/>
      <c r="I25" s="1"/>
      <c r="J25" s="1"/>
      <c r="K25" s="1"/>
      <c r="L25" s="1"/>
    </row>
    <row r="26" spans="1:12" ht="18" customHeight="1">
      <c r="A26" s="1" t="s">
        <v>66</v>
      </c>
      <c r="B26" s="1">
        <v>13</v>
      </c>
      <c r="C26" s="1">
        <v>2</v>
      </c>
      <c r="D26" s="1">
        <v>5</v>
      </c>
      <c r="E26" s="1">
        <v>5</v>
      </c>
      <c r="F26" s="1">
        <v>25</v>
      </c>
      <c r="G26" s="1"/>
      <c r="H26" s="1"/>
      <c r="I26" s="1"/>
      <c r="J26" s="1"/>
      <c r="K26" s="1"/>
      <c r="L26" s="1"/>
    </row>
    <row r="27" spans="1:12" ht="18" customHeight="1">
      <c r="A27" s="1" t="s">
        <v>67</v>
      </c>
      <c r="B27" s="1">
        <v>15</v>
      </c>
      <c r="C27" s="1">
        <v>3</v>
      </c>
      <c r="D27" s="1">
        <v>1</v>
      </c>
      <c r="E27" s="1">
        <v>6</v>
      </c>
      <c r="F27" s="1">
        <v>25</v>
      </c>
      <c r="G27" s="1"/>
      <c r="H27" s="1"/>
      <c r="I27" s="1"/>
      <c r="J27" s="1"/>
      <c r="K27" s="1"/>
      <c r="L27" s="1"/>
    </row>
    <row r="28" spans="1:12" ht="18" customHeight="1">
      <c r="A28" s="1" t="s">
        <v>68</v>
      </c>
      <c r="B28" s="1">
        <v>10</v>
      </c>
      <c r="C28" s="1">
        <v>2</v>
      </c>
      <c r="D28" s="1">
        <v>3</v>
      </c>
      <c r="E28" s="1">
        <v>7</v>
      </c>
      <c r="F28" s="1">
        <v>22</v>
      </c>
      <c r="G28" s="1"/>
      <c r="H28" s="1"/>
      <c r="I28" s="1"/>
      <c r="J28" s="1"/>
      <c r="K28" s="1"/>
      <c r="L28" s="1"/>
    </row>
    <row r="29" spans="1:12" ht="18" customHeight="1">
      <c r="A29" s="1" t="s">
        <v>69</v>
      </c>
      <c r="B29" s="1">
        <v>13</v>
      </c>
      <c r="C29" s="1">
        <v>2</v>
      </c>
      <c r="D29" s="1">
        <v>1</v>
      </c>
      <c r="E29" s="1">
        <v>5</v>
      </c>
      <c r="F29" s="1">
        <v>21</v>
      </c>
      <c r="G29" s="1"/>
      <c r="H29" s="1"/>
      <c r="I29" s="1"/>
      <c r="J29" s="1"/>
      <c r="K29" s="1"/>
      <c r="L29" s="1"/>
    </row>
    <row r="30" spans="1:12" ht="18" customHeight="1">
      <c r="A30" s="1" t="s">
        <v>70</v>
      </c>
      <c r="B30" s="1">
        <v>14</v>
      </c>
      <c r="C30" s="1">
        <v>2</v>
      </c>
      <c r="D30" s="1">
        <v>1</v>
      </c>
      <c r="E30" s="1">
        <v>4</v>
      </c>
      <c r="F30" s="1">
        <v>21</v>
      </c>
      <c r="G30" s="1"/>
      <c r="H30" s="1"/>
      <c r="I30" s="1"/>
      <c r="J30" s="1"/>
      <c r="K30" s="1"/>
      <c r="L30" s="1"/>
    </row>
    <row r="31" spans="1:12" ht="18" customHeight="1">
      <c r="A31" s="1" t="s">
        <v>71</v>
      </c>
      <c r="B31" s="1">
        <v>4</v>
      </c>
      <c r="C31" s="1">
        <v>3</v>
      </c>
      <c r="D31" s="1">
        <v>2</v>
      </c>
      <c r="E31" s="1">
        <v>4</v>
      </c>
      <c r="F31" s="1">
        <v>13</v>
      </c>
      <c r="G31" s="1"/>
      <c r="H31" s="1"/>
      <c r="I31" s="1"/>
      <c r="J31" s="1"/>
      <c r="K31" s="1"/>
      <c r="L31" s="1"/>
    </row>
    <row r="32" spans="1:12" ht="18" customHeight="1">
      <c r="A32" s="1" t="s">
        <v>72</v>
      </c>
      <c r="B32" s="1">
        <v>6</v>
      </c>
      <c r="C32" s="1">
        <v>3</v>
      </c>
      <c r="D32" s="1">
        <v>4</v>
      </c>
      <c r="E32" s="1">
        <v>0</v>
      </c>
      <c r="F32" s="1">
        <v>13</v>
      </c>
      <c r="G32" s="1"/>
      <c r="H32" s="1"/>
      <c r="I32" s="1"/>
      <c r="J32" s="1"/>
      <c r="K32" s="1"/>
      <c r="L32" s="1"/>
    </row>
    <row r="33" spans="1:12" ht="18" customHeight="1">
      <c r="A33" s="1" t="s">
        <v>73</v>
      </c>
      <c r="B33" s="1">
        <v>3</v>
      </c>
      <c r="C33" s="1">
        <v>2</v>
      </c>
      <c r="D33" s="1">
        <v>2</v>
      </c>
      <c r="E33" s="1">
        <v>4</v>
      </c>
      <c r="F33" s="1">
        <v>11</v>
      </c>
      <c r="G33" s="1"/>
      <c r="H33" s="1"/>
      <c r="I33" s="1"/>
      <c r="J33" s="1"/>
      <c r="K33" s="1"/>
      <c r="L33" s="1"/>
    </row>
    <row r="34" spans="1:12" ht="18" customHeight="1">
      <c r="A34" s="1" t="s">
        <v>74</v>
      </c>
      <c r="B34" s="1">
        <v>3</v>
      </c>
      <c r="C34" s="1">
        <v>1</v>
      </c>
      <c r="D34" s="1">
        <v>1</v>
      </c>
      <c r="E34" s="1">
        <v>3</v>
      </c>
      <c r="F34" s="1">
        <v>8</v>
      </c>
      <c r="G34" s="1"/>
      <c r="H34" s="1"/>
      <c r="I34" s="1"/>
      <c r="J34" s="1"/>
      <c r="K34" s="1"/>
      <c r="L34" s="1"/>
    </row>
    <row r="35" spans="1:12" ht="18" customHeight="1">
      <c r="A35" s="1" t="s">
        <v>75</v>
      </c>
      <c r="B35" s="1">
        <v>6</v>
      </c>
      <c r="C35" s="1">
        <v>0</v>
      </c>
      <c r="D35" s="1">
        <v>2</v>
      </c>
      <c r="E35" s="1">
        <v>0</v>
      </c>
      <c r="F35" s="1">
        <v>8</v>
      </c>
      <c r="G35" s="1"/>
      <c r="H35" s="1"/>
      <c r="I35" s="1"/>
      <c r="J35" s="1"/>
      <c r="K35" s="1"/>
      <c r="L35" s="1"/>
    </row>
    <row r="36" spans="1:12" ht="18" customHeight="1">
      <c r="A36" s="1" t="s">
        <v>76</v>
      </c>
      <c r="B36" s="1">
        <v>2</v>
      </c>
      <c r="C36" s="1">
        <v>0</v>
      </c>
      <c r="D36" s="1">
        <v>0</v>
      </c>
      <c r="E36" s="1">
        <v>0</v>
      </c>
      <c r="F36" s="1">
        <v>2</v>
      </c>
      <c r="G36" s="1"/>
      <c r="H36" s="1"/>
      <c r="I36" s="1"/>
      <c r="J36" s="1"/>
      <c r="K36" s="1"/>
      <c r="L36" s="1"/>
    </row>
    <row r="37" spans="1:12" ht="18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8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8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8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8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8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8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8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8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8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8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2">
    <mergeCell ref="A1:F1"/>
    <mergeCell ref="A2:F2"/>
  </mergeCells>
  <conditionalFormatting sqref="B5:F55">
    <cfRule type="dataBar" priority="1">
      <dataBar>
        <cfvo type="min"/>
        <cfvo type="max"/>
        <color rgb="FF156082"/>
      </dataBar>
    </cfRule>
  </conditionalFormatting>
  <conditionalFormatting sqref="B5:F55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{8A492BB1-FE80-7606-3617-AEA614D6E341}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492BB1-FE80-7606-3617-AEA614D6E341}">
            <x14:dataBar>
              <x14:cfvo type="min"/>
              <x14:cfvo type="max"/>
              <x14:negativeFillColor auto="1"/>
              <x14:axisColor auto="1"/>
            </x14:dataBar>
          </x14:cfRule>
          <xm:sqref>B5:F55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0"/>
  <sheetViews>
    <sheetView workbookViewId="0">
      <selection sqref="A1:F1"/>
    </sheetView>
  </sheetViews>
  <sheetFormatPr defaultRowHeight="14.25"/>
  <cols>
    <col min="1" max="6" width="16" customWidth="1"/>
  </cols>
  <sheetData>
    <row r="1" spans="1:12" ht="19.5">
      <c r="A1" s="35" t="s">
        <v>152</v>
      </c>
      <c r="B1" s="35"/>
      <c r="C1" s="35"/>
      <c r="D1" s="35"/>
      <c r="E1" s="35"/>
      <c r="F1" s="35"/>
      <c r="G1" s="1"/>
      <c r="H1" s="1"/>
      <c r="I1" s="1"/>
      <c r="J1" s="1"/>
      <c r="K1" s="1"/>
      <c r="L1" s="1"/>
    </row>
    <row r="2" spans="1:12">
      <c r="A2" s="36" t="s">
        <v>77</v>
      </c>
      <c r="B2" s="36"/>
      <c r="C2" s="36"/>
      <c r="D2" s="36"/>
      <c r="E2" s="36"/>
      <c r="F2" s="36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" t="s">
        <v>39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1"/>
      <c r="H4" s="1"/>
      <c r="I4" s="1"/>
      <c r="J4" s="1"/>
      <c r="K4" s="1"/>
      <c r="L4" s="1"/>
    </row>
    <row r="5" spans="1:12" ht="18" customHeight="1">
      <c r="A5" s="1" t="s">
        <v>45</v>
      </c>
      <c r="B5" s="1">
        <v>27</v>
      </c>
      <c r="C5" s="1">
        <v>10</v>
      </c>
      <c r="D5" s="1">
        <v>17</v>
      </c>
      <c r="E5" s="1">
        <v>8</v>
      </c>
      <c r="F5" s="1">
        <v>62</v>
      </c>
      <c r="G5" s="1"/>
      <c r="H5" s="1"/>
      <c r="I5" s="1"/>
      <c r="J5" s="1"/>
      <c r="K5" s="1"/>
      <c r="L5" s="1"/>
    </row>
    <row r="6" spans="1:12" ht="18" customHeight="1">
      <c r="A6" s="1" t="s">
        <v>46</v>
      </c>
      <c r="B6" s="1">
        <v>26</v>
      </c>
      <c r="C6" s="1">
        <v>10</v>
      </c>
      <c r="D6" s="1">
        <v>17</v>
      </c>
      <c r="E6" s="1">
        <v>8</v>
      </c>
      <c r="F6" s="1">
        <v>61</v>
      </c>
      <c r="G6" s="1"/>
      <c r="H6" s="1"/>
      <c r="I6" s="1"/>
      <c r="J6" s="1"/>
      <c r="K6" s="1"/>
      <c r="L6" s="1"/>
    </row>
    <row r="7" spans="1:12" ht="18" customHeight="1">
      <c r="A7" s="1" t="s">
        <v>47</v>
      </c>
      <c r="B7" s="1">
        <v>27</v>
      </c>
      <c r="C7" s="1">
        <v>10</v>
      </c>
      <c r="D7" s="1">
        <v>17</v>
      </c>
      <c r="E7" s="1">
        <v>7</v>
      </c>
      <c r="F7" s="1">
        <v>61</v>
      </c>
      <c r="G7" s="1"/>
      <c r="H7" s="1"/>
      <c r="I7" s="1"/>
      <c r="J7" s="1"/>
      <c r="K7" s="1"/>
      <c r="L7" s="1"/>
    </row>
    <row r="8" spans="1:12" ht="18" customHeight="1">
      <c r="A8" s="1" t="s">
        <v>48</v>
      </c>
      <c r="B8" s="1">
        <v>26</v>
      </c>
      <c r="C8" s="1">
        <v>10</v>
      </c>
      <c r="D8" s="1">
        <v>16</v>
      </c>
      <c r="E8" s="1">
        <v>8</v>
      </c>
      <c r="F8" s="1">
        <v>60</v>
      </c>
      <c r="G8" s="1"/>
      <c r="H8" s="1"/>
      <c r="I8" s="1"/>
      <c r="J8" s="1"/>
      <c r="K8" s="1"/>
      <c r="L8" s="1"/>
    </row>
    <row r="9" spans="1:12" ht="18" customHeight="1">
      <c r="A9" s="1" t="s">
        <v>49</v>
      </c>
      <c r="B9" s="1">
        <v>26</v>
      </c>
      <c r="C9" s="1">
        <v>9</v>
      </c>
      <c r="D9" s="1">
        <v>14</v>
      </c>
      <c r="E9" s="1">
        <v>7</v>
      </c>
      <c r="F9" s="1">
        <v>56</v>
      </c>
      <c r="G9" s="1"/>
      <c r="H9" s="1"/>
      <c r="I9" s="1"/>
      <c r="J9" s="1"/>
      <c r="K9" s="1"/>
      <c r="L9" s="1"/>
    </row>
    <row r="10" spans="1:12" ht="18" customHeight="1">
      <c r="A10" s="1" t="s">
        <v>50</v>
      </c>
      <c r="B10" s="1">
        <v>24</v>
      </c>
      <c r="C10" s="1">
        <v>8</v>
      </c>
      <c r="D10" s="1">
        <v>16</v>
      </c>
      <c r="E10" s="1">
        <v>8</v>
      </c>
      <c r="F10" s="1">
        <v>56</v>
      </c>
      <c r="G10" s="1"/>
      <c r="H10" s="1"/>
      <c r="I10" s="1"/>
      <c r="J10" s="1"/>
      <c r="K10" s="1"/>
      <c r="L10" s="1"/>
    </row>
    <row r="11" spans="1:12" ht="18" customHeight="1">
      <c r="A11" s="1" t="s">
        <v>51</v>
      </c>
      <c r="B11" s="1">
        <v>22</v>
      </c>
      <c r="C11" s="1">
        <v>10</v>
      </c>
      <c r="D11" s="1">
        <v>15</v>
      </c>
      <c r="E11" s="1">
        <v>7</v>
      </c>
      <c r="F11" s="1">
        <v>54</v>
      </c>
      <c r="G11" s="1"/>
      <c r="H11" s="1"/>
      <c r="I11" s="1"/>
      <c r="J11" s="1"/>
      <c r="K11" s="1"/>
      <c r="L11" s="1"/>
    </row>
    <row r="12" spans="1:12" ht="18" customHeight="1">
      <c r="A12" s="1" t="s">
        <v>52</v>
      </c>
      <c r="B12" s="1">
        <v>21</v>
      </c>
      <c r="C12" s="1">
        <v>9</v>
      </c>
      <c r="D12" s="1">
        <v>17</v>
      </c>
      <c r="E12" s="1">
        <v>7</v>
      </c>
      <c r="F12" s="1">
        <v>54</v>
      </c>
      <c r="G12" s="1"/>
      <c r="H12" s="1"/>
      <c r="I12" s="1"/>
      <c r="J12" s="1"/>
      <c r="K12" s="1"/>
      <c r="L12" s="1"/>
    </row>
    <row r="13" spans="1:12" ht="18" customHeight="1">
      <c r="A13" s="1" t="s">
        <v>53</v>
      </c>
      <c r="B13" s="1">
        <v>22</v>
      </c>
      <c r="C13" s="1">
        <v>8</v>
      </c>
      <c r="D13" s="1">
        <v>17</v>
      </c>
      <c r="E13" s="1">
        <v>7</v>
      </c>
      <c r="F13" s="1">
        <v>54</v>
      </c>
      <c r="G13" s="1"/>
      <c r="H13" s="1"/>
      <c r="I13" s="1"/>
      <c r="J13" s="1"/>
      <c r="K13" s="1"/>
      <c r="L13" s="1"/>
    </row>
    <row r="14" spans="1:12" ht="18" customHeight="1">
      <c r="A14" s="1" t="s">
        <v>54</v>
      </c>
      <c r="B14" s="1">
        <v>26</v>
      </c>
      <c r="C14" s="1">
        <v>10</v>
      </c>
      <c r="D14" s="1">
        <v>11</v>
      </c>
      <c r="E14" s="1">
        <v>7</v>
      </c>
      <c r="F14" s="1">
        <v>54</v>
      </c>
      <c r="G14" s="1"/>
      <c r="H14" s="1"/>
      <c r="I14" s="1"/>
      <c r="J14" s="1"/>
      <c r="K14" s="1"/>
      <c r="L14" s="1"/>
    </row>
    <row r="15" spans="1:12" ht="18" customHeight="1">
      <c r="A15" s="1" t="s">
        <v>55</v>
      </c>
      <c r="B15" s="1">
        <v>24</v>
      </c>
      <c r="C15" s="1">
        <v>9</v>
      </c>
      <c r="D15" s="1">
        <v>14</v>
      </c>
      <c r="E15" s="1">
        <v>7</v>
      </c>
      <c r="F15" s="1">
        <v>54</v>
      </c>
      <c r="G15" s="1"/>
      <c r="H15" s="1"/>
      <c r="I15" s="1"/>
      <c r="J15" s="1"/>
      <c r="K15" s="1"/>
      <c r="L15" s="1"/>
    </row>
    <row r="16" spans="1:12" ht="18" customHeight="1">
      <c r="A16" s="1" t="s">
        <v>56</v>
      </c>
      <c r="B16" s="1">
        <v>26</v>
      </c>
      <c r="C16" s="1">
        <v>9</v>
      </c>
      <c r="D16" s="1">
        <v>12</v>
      </c>
      <c r="E16" s="1">
        <v>6</v>
      </c>
      <c r="F16" s="1">
        <v>53</v>
      </c>
      <c r="G16" s="1"/>
      <c r="H16" s="1"/>
      <c r="I16" s="1"/>
      <c r="J16" s="1"/>
      <c r="K16" s="1"/>
      <c r="L16" s="1"/>
    </row>
    <row r="17" spans="1:12" ht="18" customHeight="1">
      <c r="A17" s="1" t="s">
        <v>57</v>
      </c>
      <c r="B17" s="1">
        <v>24</v>
      </c>
      <c r="C17" s="1">
        <v>7</v>
      </c>
      <c r="D17" s="1">
        <v>15</v>
      </c>
      <c r="E17" s="1">
        <v>7</v>
      </c>
      <c r="F17" s="1">
        <v>53</v>
      </c>
      <c r="G17" s="1"/>
      <c r="H17" s="1"/>
      <c r="I17" s="1"/>
      <c r="J17" s="1"/>
      <c r="K17" s="1"/>
      <c r="L17" s="1"/>
    </row>
    <row r="18" spans="1:12" ht="18" customHeight="1">
      <c r="A18" s="1" t="s">
        <v>58</v>
      </c>
      <c r="B18" s="1">
        <v>26</v>
      </c>
      <c r="C18" s="1">
        <v>7</v>
      </c>
      <c r="D18" s="1">
        <v>13</v>
      </c>
      <c r="E18" s="1">
        <v>6</v>
      </c>
      <c r="F18" s="1">
        <v>52</v>
      </c>
      <c r="G18" s="1"/>
      <c r="H18" s="1"/>
      <c r="I18" s="1"/>
      <c r="J18" s="1"/>
      <c r="K18" s="1"/>
      <c r="L18" s="1"/>
    </row>
    <row r="19" spans="1:12" ht="18" customHeight="1">
      <c r="A19" s="1" t="s">
        <v>59</v>
      </c>
      <c r="B19" s="1">
        <v>19</v>
      </c>
      <c r="C19" s="1">
        <v>9</v>
      </c>
      <c r="D19" s="1">
        <v>15</v>
      </c>
      <c r="E19" s="1">
        <v>8</v>
      </c>
      <c r="F19" s="1">
        <v>51</v>
      </c>
      <c r="G19" s="1"/>
      <c r="H19" s="1"/>
      <c r="I19" s="1"/>
      <c r="J19" s="1"/>
      <c r="K19" s="1"/>
      <c r="L19" s="1"/>
    </row>
    <row r="20" spans="1:12" ht="18" customHeight="1">
      <c r="A20" s="1" t="s">
        <v>60</v>
      </c>
      <c r="B20" s="1">
        <v>22</v>
      </c>
      <c r="C20" s="1">
        <v>8</v>
      </c>
      <c r="D20" s="1">
        <v>13</v>
      </c>
      <c r="E20" s="1">
        <v>8</v>
      </c>
      <c r="F20" s="1">
        <v>51</v>
      </c>
      <c r="G20" s="1"/>
      <c r="H20" s="1"/>
      <c r="I20" s="1"/>
      <c r="J20" s="1"/>
      <c r="K20" s="1"/>
      <c r="L20" s="1"/>
    </row>
    <row r="21" spans="1:12" ht="18" customHeight="1">
      <c r="A21" s="1" t="s">
        <v>61</v>
      </c>
      <c r="B21" s="1">
        <v>21</v>
      </c>
      <c r="C21" s="1">
        <v>7</v>
      </c>
      <c r="D21" s="1">
        <v>15</v>
      </c>
      <c r="E21" s="1">
        <v>6</v>
      </c>
      <c r="F21" s="1">
        <v>49</v>
      </c>
      <c r="G21" s="1"/>
      <c r="H21" s="1"/>
      <c r="I21" s="1"/>
      <c r="J21" s="1"/>
      <c r="K21" s="1"/>
      <c r="L21" s="1"/>
    </row>
    <row r="22" spans="1:12" ht="18" customHeight="1">
      <c r="A22" s="1" t="s">
        <v>62</v>
      </c>
      <c r="B22" s="1">
        <v>22</v>
      </c>
      <c r="C22" s="1">
        <v>8</v>
      </c>
      <c r="D22" s="1">
        <v>12</v>
      </c>
      <c r="E22" s="1">
        <v>6</v>
      </c>
      <c r="F22" s="1">
        <v>48</v>
      </c>
      <c r="G22" s="1"/>
      <c r="H22" s="1"/>
      <c r="I22" s="1"/>
      <c r="J22" s="1"/>
      <c r="K22" s="1"/>
      <c r="L22" s="1"/>
    </row>
    <row r="23" spans="1:12" ht="18" customHeight="1">
      <c r="A23" s="1" t="s">
        <v>63</v>
      </c>
      <c r="B23" s="1">
        <v>22</v>
      </c>
      <c r="C23" s="1">
        <v>9</v>
      </c>
      <c r="D23" s="1">
        <v>10</v>
      </c>
      <c r="E23" s="1">
        <v>7</v>
      </c>
      <c r="F23" s="1">
        <v>48</v>
      </c>
      <c r="G23" s="1"/>
      <c r="H23" s="1"/>
      <c r="I23" s="1"/>
      <c r="J23" s="1"/>
      <c r="K23" s="1"/>
      <c r="L23" s="1"/>
    </row>
    <row r="24" spans="1:12" ht="18" customHeight="1">
      <c r="A24" s="1" t="s">
        <v>64</v>
      </c>
      <c r="B24" s="1">
        <v>18</v>
      </c>
      <c r="C24" s="1">
        <v>9</v>
      </c>
      <c r="D24" s="1">
        <v>12</v>
      </c>
      <c r="E24" s="1">
        <v>8</v>
      </c>
      <c r="F24" s="1">
        <v>47</v>
      </c>
      <c r="G24" s="1"/>
      <c r="H24" s="1"/>
      <c r="I24" s="1"/>
      <c r="J24" s="1"/>
      <c r="K24" s="1"/>
      <c r="L24" s="1"/>
    </row>
    <row r="25" spans="1:12" ht="18" customHeight="1">
      <c r="A25" s="1" t="s">
        <v>65</v>
      </c>
      <c r="B25" s="1">
        <v>19</v>
      </c>
      <c r="C25" s="1">
        <v>7</v>
      </c>
      <c r="D25" s="1">
        <v>12</v>
      </c>
      <c r="E25" s="1">
        <v>8</v>
      </c>
      <c r="F25" s="1">
        <v>46</v>
      </c>
      <c r="G25" s="1"/>
      <c r="H25" s="1"/>
      <c r="I25" s="1"/>
      <c r="J25" s="1"/>
      <c r="K25" s="1"/>
      <c r="L25" s="1"/>
    </row>
    <row r="26" spans="1:12" ht="18" customHeight="1">
      <c r="A26" s="1" t="s">
        <v>66</v>
      </c>
      <c r="B26" s="1">
        <v>22</v>
      </c>
      <c r="C26" s="1">
        <v>5</v>
      </c>
      <c r="D26" s="1">
        <v>15</v>
      </c>
      <c r="E26" s="1">
        <v>4</v>
      </c>
      <c r="F26" s="1">
        <v>46</v>
      </c>
      <c r="G26" s="1"/>
      <c r="H26" s="1"/>
      <c r="I26" s="1"/>
      <c r="J26" s="1"/>
      <c r="K26" s="1"/>
      <c r="L26" s="1"/>
    </row>
    <row r="27" spans="1:12" ht="18" customHeight="1">
      <c r="A27" s="1" t="s">
        <v>67</v>
      </c>
      <c r="B27" s="1">
        <v>20</v>
      </c>
      <c r="C27" s="1">
        <v>4</v>
      </c>
      <c r="D27" s="1">
        <v>15</v>
      </c>
      <c r="E27" s="1">
        <v>7</v>
      </c>
      <c r="F27" s="1">
        <v>46</v>
      </c>
      <c r="G27" s="1"/>
      <c r="H27" s="1"/>
      <c r="I27" s="1"/>
      <c r="J27" s="1"/>
      <c r="K27" s="1"/>
      <c r="L27" s="1"/>
    </row>
    <row r="28" spans="1:12" ht="18" customHeight="1">
      <c r="A28" s="1" t="s">
        <v>68</v>
      </c>
      <c r="B28" s="1">
        <v>24</v>
      </c>
      <c r="C28" s="1">
        <v>8</v>
      </c>
      <c r="D28" s="1">
        <v>12</v>
      </c>
      <c r="E28" s="1">
        <v>2</v>
      </c>
      <c r="F28" s="1">
        <v>46</v>
      </c>
      <c r="G28" s="1"/>
      <c r="H28" s="1"/>
      <c r="I28" s="1"/>
      <c r="J28" s="1"/>
      <c r="K28" s="1"/>
      <c r="L28" s="1"/>
    </row>
    <row r="29" spans="1:12" ht="18" customHeight="1">
      <c r="A29" s="1" t="s">
        <v>69</v>
      </c>
      <c r="B29" s="1">
        <v>20</v>
      </c>
      <c r="C29" s="1">
        <v>4</v>
      </c>
      <c r="D29" s="1">
        <v>14</v>
      </c>
      <c r="E29" s="1">
        <v>6</v>
      </c>
      <c r="F29" s="1">
        <v>44</v>
      </c>
      <c r="G29" s="1"/>
      <c r="H29" s="1"/>
      <c r="I29" s="1"/>
      <c r="J29" s="1"/>
      <c r="K29" s="1"/>
      <c r="L29" s="1"/>
    </row>
    <row r="30" spans="1:12" ht="18" customHeight="1">
      <c r="A30" s="1" t="s">
        <v>70</v>
      </c>
      <c r="B30" s="1">
        <v>21</v>
      </c>
      <c r="C30" s="1">
        <v>9</v>
      </c>
      <c r="D30" s="1">
        <v>10</v>
      </c>
      <c r="E30" s="1">
        <v>4</v>
      </c>
      <c r="F30" s="1">
        <v>44</v>
      </c>
      <c r="G30" s="1"/>
      <c r="H30" s="1"/>
      <c r="I30" s="1"/>
      <c r="J30" s="1"/>
      <c r="K30" s="1"/>
      <c r="L30" s="1"/>
    </row>
    <row r="31" spans="1:12" ht="18" customHeight="1">
      <c r="A31" s="1" t="s">
        <v>71</v>
      </c>
      <c r="B31" s="1">
        <v>20</v>
      </c>
      <c r="C31" s="1">
        <v>5</v>
      </c>
      <c r="D31" s="1">
        <v>11</v>
      </c>
      <c r="E31" s="1">
        <v>7</v>
      </c>
      <c r="F31" s="1">
        <v>43</v>
      </c>
      <c r="G31" s="1"/>
      <c r="H31" s="1"/>
      <c r="I31" s="1"/>
      <c r="J31" s="1"/>
      <c r="K31" s="1"/>
      <c r="L31" s="1"/>
    </row>
    <row r="32" spans="1:12" ht="18" customHeight="1">
      <c r="A32" s="1" t="s">
        <v>72</v>
      </c>
      <c r="B32" s="1">
        <v>21</v>
      </c>
      <c r="C32" s="1">
        <v>8</v>
      </c>
      <c r="D32" s="1">
        <v>10</v>
      </c>
      <c r="E32" s="1">
        <v>3</v>
      </c>
      <c r="F32" s="1">
        <v>42</v>
      </c>
      <c r="G32" s="1"/>
      <c r="H32" s="1"/>
      <c r="I32" s="1"/>
      <c r="J32" s="1"/>
      <c r="K32" s="1"/>
      <c r="L32" s="1"/>
    </row>
    <row r="33" spans="1:12" ht="18" customHeight="1">
      <c r="A33" s="1" t="s">
        <v>73</v>
      </c>
      <c r="B33" s="1">
        <v>14</v>
      </c>
      <c r="C33" s="1">
        <v>4</v>
      </c>
      <c r="D33" s="1">
        <v>15</v>
      </c>
      <c r="E33" s="1">
        <v>8</v>
      </c>
      <c r="F33" s="1">
        <v>41</v>
      </c>
      <c r="G33" s="1"/>
      <c r="H33" s="1"/>
      <c r="I33" s="1"/>
      <c r="J33" s="1"/>
      <c r="K33" s="1"/>
      <c r="L33" s="1"/>
    </row>
    <row r="34" spans="1:12" ht="18" customHeight="1">
      <c r="A34" s="1" t="s">
        <v>74</v>
      </c>
      <c r="B34" s="1">
        <v>19</v>
      </c>
      <c r="C34" s="1">
        <v>3</v>
      </c>
      <c r="D34" s="1">
        <v>10</v>
      </c>
      <c r="E34" s="1">
        <v>8</v>
      </c>
      <c r="F34" s="1">
        <v>40</v>
      </c>
      <c r="G34" s="1"/>
      <c r="H34" s="1"/>
      <c r="I34" s="1"/>
      <c r="J34" s="1"/>
      <c r="K34" s="1"/>
      <c r="L34" s="1"/>
    </row>
    <row r="35" spans="1:12" ht="18" customHeight="1">
      <c r="A35" s="1" t="s">
        <v>75</v>
      </c>
      <c r="B35" s="1">
        <v>22</v>
      </c>
      <c r="C35" s="1">
        <v>8</v>
      </c>
      <c r="D35" s="1">
        <v>9</v>
      </c>
      <c r="E35" s="1">
        <v>0</v>
      </c>
      <c r="F35" s="1">
        <v>39</v>
      </c>
      <c r="G35" s="1"/>
      <c r="H35" s="1"/>
      <c r="I35" s="1"/>
      <c r="J35" s="1"/>
      <c r="K35" s="1"/>
      <c r="L35" s="1"/>
    </row>
    <row r="36" spans="1:12" ht="18" customHeight="1">
      <c r="A36" s="1" t="s">
        <v>76</v>
      </c>
      <c r="B36" s="1">
        <v>19</v>
      </c>
      <c r="C36" s="1">
        <v>5</v>
      </c>
      <c r="D36" s="1">
        <v>11</v>
      </c>
      <c r="E36" s="1">
        <v>4</v>
      </c>
      <c r="F36" s="1">
        <v>39</v>
      </c>
      <c r="G36" s="1"/>
      <c r="H36" s="1"/>
      <c r="I36" s="1"/>
      <c r="J36" s="1"/>
      <c r="K36" s="1"/>
      <c r="L36" s="1"/>
    </row>
    <row r="37" spans="1:12" ht="18" customHeight="1">
      <c r="A37" s="1" t="s">
        <v>83</v>
      </c>
      <c r="B37" s="1">
        <v>18</v>
      </c>
      <c r="C37" s="1">
        <v>8</v>
      </c>
      <c r="D37" s="1">
        <v>10</v>
      </c>
      <c r="E37" s="1">
        <v>2</v>
      </c>
      <c r="F37" s="1">
        <v>38</v>
      </c>
      <c r="G37" s="1"/>
      <c r="H37" s="1"/>
      <c r="I37" s="1"/>
      <c r="J37" s="1"/>
      <c r="K37" s="1"/>
      <c r="L37" s="1"/>
    </row>
    <row r="38" spans="1:12" ht="18" customHeight="1">
      <c r="A38" s="1" t="s">
        <v>84</v>
      </c>
      <c r="B38" s="1">
        <v>16</v>
      </c>
      <c r="C38" s="1">
        <v>2</v>
      </c>
      <c r="D38" s="1">
        <v>15</v>
      </c>
      <c r="E38" s="1">
        <v>5</v>
      </c>
      <c r="F38" s="1">
        <v>38</v>
      </c>
      <c r="G38" s="1"/>
      <c r="H38" s="1"/>
      <c r="I38" s="1"/>
      <c r="J38" s="1"/>
      <c r="K38" s="1"/>
      <c r="L38" s="1"/>
    </row>
    <row r="39" spans="1:12" ht="18" customHeight="1">
      <c r="A39" s="1" t="s">
        <v>85</v>
      </c>
      <c r="B39" s="1">
        <v>19</v>
      </c>
      <c r="C39" s="1">
        <v>4</v>
      </c>
      <c r="D39" s="1">
        <v>10</v>
      </c>
      <c r="E39" s="1">
        <v>4</v>
      </c>
      <c r="F39" s="1">
        <v>37</v>
      </c>
      <c r="G39" s="1"/>
      <c r="H39" s="1"/>
      <c r="I39" s="1"/>
      <c r="J39" s="1"/>
      <c r="K39" s="1"/>
      <c r="L39" s="1"/>
    </row>
    <row r="40" spans="1:12" ht="18" customHeight="1">
      <c r="A40" s="1" t="s">
        <v>86</v>
      </c>
      <c r="B40" s="1">
        <v>17</v>
      </c>
      <c r="C40" s="1">
        <v>7</v>
      </c>
      <c r="D40" s="1">
        <v>7</v>
      </c>
      <c r="E40" s="1">
        <v>6</v>
      </c>
      <c r="F40" s="1">
        <v>37</v>
      </c>
      <c r="G40" s="1"/>
      <c r="H40" s="1"/>
      <c r="I40" s="1"/>
      <c r="J40" s="1"/>
      <c r="K40" s="1"/>
      <c r="L40" s="1"/>
    </row>
    <row r="41" spans="1:12" ht="18" customHeight="1">
      <c r="A41" s="1" t="s">
        <v>87</v>
      </c>
      <c r="B41" s="1">
        <v>16</v>
      </c>
      <c r="C41" s="1">
        <v>4</v>
      </c>
      <c r="D41" s="1">
        <v>9</v>
      </c>
      <c r="E41" s="1">
        <v>8</v>
      </c>
      <c r="F41" s="1">
        <v>37</v>
      </c>
      <c r="G41" s="1"/>
      <c r="H41" s="1"/>
      <c r="I41" s="1"/>
      <c r="J41" s="1"/>
      <c r="K41" s="1"/>
      <c r="L41" s="1"/>
    </row>
    <row r="42" spans="1:12" ht="18" customHeight="1">
      <c r="A42" s="1" t="s">
        <v>88</v>
      </c>
      <c r="B42" s="1">
        <v>17</v>
      </c>
      <c r="C42" s="1">
        <v>3</v>
      </c>
      <c r="D42" s="1">
        <v>9</v>
      </c>
      <c r="E42" s="1">
        <v>7</v>
      </c>
      <c r="F42" s="1">
        <v>36</v>
      </c>
      <c r="G42" s="1"/>
      <c r="H42" s="1"/>
      <c r="I42" s="1"/>
      <c r="J42" s="1"/>
      <c r="K42" s="1"/>
      <c r="L42" s="1"/>
    </row>
    <row r="43" spans="1:12" ht="18" customHeight="1">
      <c r="A43" s="1" t="s">
        <v>89</v>
      </c>
      <c r="B43" s="1">
        <v>9</v>
      </c>
      <c r="C43" s="1">
        <v>3</v>
      </c>
      <c r="D43" s="1">
        <v>15</v>
      </c>
      <c r="E43" s="1">
        <v>7</v>
      </c>
      <c r="F43" s="1">
        <v>34</v>
      </c>
      <c r="G43" s="1"/>
      <c r="H43" s="1"/>
      <c r="I43" s="1"/>
      <c r="J43" s="1"/>
      <c r="K43" s="1"/>
      <c r="L43" s="1"/>
    </row>
    <row r="44" spans="1:12" ht="18" customHeight="1">
      <c r="A44" s="1" t="s">
        <v>90</v>
      </c>
      <c r="B44" s="1">
        <v>14</v>
      </c>
      <c r="C44" s="1">
        <v>2</v>
      </c>
      <c r="D44" s="1">
        <v>11</v>
      </c>
      <c r="E44" s="1">
        <v>7</v>
      </c>
      <c r="F44" s="1">
        <v>34</v>
      </c>
      <c r="G44" s="1"/>
      <c r="H44" s="1"/>
      <c r="I44" s="1"/>
      <c r="J44" s="1"/>
      <c r="K44" s="1"/>
      <c r="L44" s="1"/>
    </row>
    <row r="45" spans="1:12" ht="18" customHeight="1">
      <c r="A45" s="1" t="s">
        <v>91</v>
      </c>
      <c r="B45" s="1">
        <v>13</v>
      </c>
      <c r="C45" s="1">
        <v>1</v>
      </c>
      <c r="D45" s="1">
        <v>8</v>
      </c>
      <c r="E45" s="1">
        <v>3</v>
      </c>
      <c r="F45" s="1">
        <v>25</v>
      </c>
      <c r="G45" s="1"/>
      <c r="H45" s="1"/>
      <c r="I45" s="1"/>
      <c r="J45" s="1"/>
      <c r="K45" s="1"/>
      <c r="L45" s="1"/>
    </row>
    <row r="46" spans="1:12" ht="18" customHeight="1">
      <c r="A46" s="1" t="s">
        <v>92</v>
      </c>
      <c r="B46" s="1">
        <v>6</v>
      </c>
      <c r="C46" s="1">
        <v>0</v>
      </c>
      <c r="D46" s="1">
        <v>10</v>
      </c>
      <c r="E46" s="1">
        <v>7</v>
      </c>
      <c r="F46" s="1">
        <v>23</v>
      </c>
      <c r="G46" s="1"/>
      <c r="H46" s="1"/>
      <c r="I46" s="1"/>
      <c r="J46" s="1"/>
      <c r="K46" s="1"/>
      <c r="L46" s="1"/>
    </row>
    <row r="47" spans="1:12" ht="18" customHeight="1">
      <c r="A47" s="1" t="s">
        <v>93</v>
      </c>
      <c r="B47" s="1">
        <v>11</v>
      </c>
      <c r="C47" s="1">
        <v>2</v>
      </c>
      <c r="D47" s="1">
        <v>7</v>
      </c>
      <c r="E47" s="1">
        <v>3</v>
      </c>
      <c r="F47" s="1">
        <v>23</v>
      </c>
      <c r="G47" s="1"/>
      <c r="H47" s="1"/>
      <c r="I47" s="1"/>
      <c r="J47" s="1"/>
      <c r="K47" s="1"/>
      <c r="L47" s="1"/>
    </row>
    <row r="48" spans="1:12" ht="18" customHeight="1">
      <c r="A48" s="1" t="s">
        <v>94</v>
      </c>
      <c r="B48" s="1">
        <v>7</v>
      </c>
      <c r="C48" s="1">
        <v>3</v>
      </c>
      <c r="D48" s="1">
        <v>8</v>
      </c>
      <c r="E48" s="1">
        <v>3</v>
      </c>
      <c r="F48" s="1">
        <v>21</v>
      </c>
      <c r="G48" s="1"/>
      <c r="H48" s="1"/>
      <c r="I48" s="1"/>
      <c r="J48" s="1"/>
      <c r="K48" s="1"/>
      <c r="L48" s="1"/>
    </row>
    <row r="49" spans="1:12" ht="18" customHeight="1">
      <c r="A49" s="1" t="s">
        <v>95</v>
      </c>
      <c r="B49" s="1">
        <v>4</v>
      </c>
      <c r="C49" s="1">
        <v>1</v>
      </c>
      <c r="D49" s="1">
        <v>4</v>
      </c>
      <c r="E49" s="1">
        <v>3</v>
      </c>
      <c r="F49" s="1">
        <v>12</v>
      </c>
      <c r="G49" s="1"/>
      <c r="H49" s="1"/>
      <c r="I49" s="1"/>
      <c r="J49" s="1"/>
      <c r="K49" s="1"/>
      <c r="L49" s="1"/>
    </row>
    <row r="50" spans="1:12" ht="18" customHeight="1">
      <c r="A50" s="1" t="s">
        <v>96</v>
      </c>
      <c r="B50" s="1">
        <v>5</v>
      </c>
      <c r="C50" s="1">
        <v>0</v>
      </c>
      <c r="D50" s="1">
        <v>3</v>
      </c>
      <c r="E50" s="1">
        <v>0</v>
      </c>
      <c r="F50" s="1">
        <v>8</v>
      </c>
      <c r="G50" s="1"/>
      <c r="H50" s="1"/>
      <c r="I50" s="1"/>
      <c r="J50" s="1"/>
      <c r="K50" s="1"/>
      <c r="L50" s="1"/>
    </row>
    <row r="51" spans="1:12" ht="18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8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8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8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2">
    <mergeCell ref="A1:F1"/>
    <mergeCell ref="A2:F2"/>
  </mergeCells>
  <conditionalFormatting sqref="B5:F55">
    <cfRule type="dataBar" priority="1">
      <dataBar>
        <cfvo type="min"/>
        <cfvo type="max"/>
        <color rgb="FF156082"/>
      </dataBar>
    </cfRule>
  </conditionalFormatting>
  <conditionalFormatting sqref="B5:F55">
    <cfRule type="dataBar" priority="2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{3E731A82-D6BD-EB21-539C-4C595F4C2435}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731A82-D6BD-EB21-539C-4C595F4C2435}">
            <x14:dataBar>
              <x14:cfvo type="min"/>
              <x14:cfvo type="max"/>
              <x14:negativeFillColor auto="1"/>
              <x14:axisColor auto="1"/>
            </x14:dataBar>
          </x14:cfRule>
          <xm:sqref>B5:F55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0"/>
  <sheetViews>
    <sheetView tabSelected="1" workbookViewId="0">
      <selection sqref="A1:Y2"/>
    </sheetView>
  </sheetViews>
  <sheetFormatPr defaultRowHeight="14.25"/>
  <cols>
    <col min="1" max="1" width="15" customWidth="1"/>
    <col min="2" max="18" width="11" customWidth="1"/>
    <col min="19" max="22" width="13" customWidth="1"/>
    <col min="23" max="25" width="11" customWidth="1"/>
  </cols>
  <sheetData>
    <row r="1" spans="1:25">
      <c r="A1" s="37" t="s">
        <v>97</v>
      </c>
      <c r="B1" s="37" t="s">
        <v>97</v>
      </c>
      <c r="C1" s="37" t="s">
        <v>97</v>
      </c>
      <c r="D1" s="37" t="s">
        <v>97</v>
      </c>
      <c r="E1" s="37" t="s">
        <v>97</v>
      </c>
      <c r="F1" s="37" t="s">
        <v>97</v>
      </c>
      <c r="G1" s="37" t="s">
        <v>97</v>
      </c>
      <c r="H1" s="37" t="s">
        <v>97</v>
      </c>
      <c r="I1" s="37" t="s">
        <v>97</v>
      </c>
      <c r="J1" s="37" t="s">
        <v>97</v>
      </c>
      <c r="K1" s="37" t="s">
        <v>97</v>
      </c>
      <c r="L1" s="37" t="s">
        <v>97</v>
      </c>
      <c r="M1" s="37" t="s">
        <v>97</v>
      </c>
      <c r="N1" s="37" t="s">
        <v>97</v>
      </c>
      <c r="O1" s="37" t="s">
        <v>97</v>
      </c>
      <c r="P1" s="37" t="s">
        <v>97</v>
      </c>
      <c r="Q1" s="37" t="s">
        <v>97</v>
      </c>
      <c r="R1" s="37" t="s">
        <v>97</v>
      </c>
      <c r="S1" s="37" t="s">
        <v>97</v>
      </c>
      <c r="T1" s="37" t="s">
        <v>97</v>
      </c>
      <c r="U1" s="37" t="s">
        <v>97</v>
      </c>
      <c r="V1" s="37" t="s">
        <v>97</v>
      </c>
      <c r="W1" s="37" t="s">
        <v>97</v>
      </c>
      <c r="X1" s="37" t="s">
        <v>97</v>
      </c>
      <c r="Y1" s="37" t="s">
        <v>97</v>
      </c>
    </row>
    <row r="2" spans="1:25">
      <c r="A2" s="37" t="s">
        <v>97</v>
      </c>
      <c r="B2" s="37" t="s">
        <v>97</v>
      </c>
      <c r="C2" s="37" t="s">
        <v>97</v>
      </c>
      <c r="D2" s="37" t="s">
        <v>97</v>
      </c>
      <c r="E2" s="37" t="s">
        <v>97</v>
      </c>
      <c r="F2" s="37" t="s">
        <v>97</v>
      </c>
      <c r="G2" s="37" t="s">
        <v>97</v>
      </c>
      <c r="H2" s="37" t="s">
        <v>97</v>
      </c>
      <c r="I2" s="37" t="s">
        <v>97</v>
      </c>
      <c r="J2" s="37" t="s">
        <v>97</v>
      </c>
      <c r="K2" s="37" t="s">
        <v>97</v>
      </c>
      <c r="L2" s="37" t="s">
        <v>97</v>
      </c>
      <c r="M2" s="37" t="s">
        <v>97</v>
      </c>
      <c r="N2" s="37" t="s">
        <v>97</v>
      </c>
      <c r="O2" s="37" t="s">
        <v>97</v>
      </c>
      <c r="P2" s="37" t="s">
        <v>97</v>
      </c>
      <c r="Q2" s="37" t="s">
        <v>97</v>
      </c>
      <c r="R2" s="37" t="s">
        <v>97</v>
      </c>
      <c r="S2" s="37" t="s">
        <v>97</v>
      </c>
      <c r="T2" s="37" t="s">
        <v>97</v>
      </c>
      <c r="U2" s="37" t="s">
        <v>97</v>
      </c>
      <c r="V2" s="37" t="s">
        <v>97</v>
      </c>
      <c r="W2" s="37" t="s">
        <v>97</v>
      </c>
      <c r="X2" s="37" t="s">
        <v>97</v>
      </c>
      <c r="Y2" s="37" t="s">
        <v>97</v>
      </c>
    </row>
    <row r="3" spans="1: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>
      <c r="A5" s="13"/>
      <c r="B5" s="39" t="s">
        <v>98</v>
      </c>
      <c r="C5" s="39"/>
      <c r="D5" s="39"/>
      <c r="E5" s="39"/>
      <c r="F5" s="39"/>
      <c r="G5" s="39"/>
      <c r="H5" s="39"/>
      <c r="I5" s="39" t="s">
        <v>99</v>
      </c>
      <c r="J5" s="39"/>
      <c r="K5" s="39"/>
      <c r="L5" s="39"/>
      <c r="M5" s="39" t="s">
        <v>100</v>
      </c>
      <c r="N5" s="39"/>
      <c r="O5" s="39"/>
      <c r="P5" s="39" t="s">
        <v>101</v>
      </c>
      <c r="Q5" s="39"/>
      <c r="R5" s="39"/>
      <c r="S5" s="39" t="s">
        <v>102</v>
      </c>
      <c r="T5" s="39"/>
      <c r="U5" s="39"/>
      <c r="V5" s="39"/>
      <c r="W5" s="39"/>
      <c r="X5" s="39"/>
      <c r="Y5" s="39"/>
    </row>
    <row r="6" spans="1:25" ht="54.95" customHeight="1">
      <c r="A6" s="14" t="s">
        <v>39</v>
      </c>
      <c r="B6" s="14" t="s">
        <v>103</v>
      </c>
      <c r="C6" s="14" t="s">
        <v>104</v>
      </c>
      <c r="D6" s="14" t="s">
        <v>105</v>
      </c>
      <c r="E6" s="14" t="s">
        <v>106</v>
      </c>
      <c r="F6" s="14" t="s">
        <v>107</v>
      </c>
      <c r="G6" s="14" t="s">
        <v>108</v>
      </c>
      <c r="H6" s="14" t="s">
        <v>109</v>
      </c>
      <c r="I6" s="14" t="s">
        <v>110</v>
      </c>
      <c r="J6" s="14" t="s">
        <v>111</v>
      </c>
      <c r="K6" s="14" t="s">
        <v>112</v>
      </c>
      <c r="L6" s="14" t="s">
        <v>113</v>
      </c>
      <c r="M6" s="14" t="s">
        <v>114</v>
      </c>
      <c r="N6" s="14" t="s">
        <v>115</v>
      </c>
      <c r="O6" s="14" t="s">
        <v>116</v>
      </c>
      <c r="P6" s="14" t="s">
        <v>117</v>
      </c>
      <c r="Q6" s="14" t="s">
        <v>118</v>
      </c>
      <c r="R6" s="14" t="s">
        <v>119</v>
      </c>
      <c r="S6" s="14" t="s">
        <v>120</v>
      </c>
      <c r="T6" s="14" t="s">
        <v>121</v>
      </c>
      <c r="U6" s="14" t="s">
        <v>122</v>
      </c>
      <c r="V6" s="14" t="s">
        <v>123</v>
      </c>
      <c r="W6" s="14" t="s">
        <v>124</v>
      </c>
      <c r="X6" s="14" t="s">
        <v>125</v>
      </c>
      <c r="Y6" s="14" t="s">
        <v>126</v>
      </c>
    </row>
    <row r="7" spans="1:25" ht="24" customHeight="1">
      <c r="A7" s="15" t="s">
        <v>127</v>
      </c>
      <c r="B7" s="15">
        <v>6</v>
      </c>
      <c r="C7" s="15">
        <v>4</v>
      </c>
      <c r="D7" s="15">
        <v>2</v>
      </c>
      <c r="E7" s="15">
        <v>4</v>
      </c>
      <c r="F7" s="15">
        <v>1</v>
      </c>
      <c r="G7" s="15">
        <v>1</v>
      </c>
      <c r="H7" s="15">
        <v>2</v>
      </c>
      <c r="I7" s="15">
        <v>4</v>
      </c>
      <c r="J7" s="15">
        <v>3</v>
      </c>
      <c r="K7" s="15">
        <v>2</v>
      </c>
      <c r="L7" s="15">
        <v>8</v>
      </c>
      <c r="M7" s="15">
        <v>2</v>
      </c>
      <c r="N7" s="15">
        <v>3</v>
      </c>
      <c r="O7" s="15">
        <v>4</v>
      </c>
      <c r="P7" s="15">
        <v>4</v>
      </c>
      <c r="Q7" s="15">
        <v>2</v>
      </c>
      <c r="R7" s="15">
        <v>5</v>
      </c>
      <c r="S7" s="15"/>
      <c r="T7" s="15"/>
      <c r="U7" s="15"/>
      <c r="V7" s="15"/>
      <c r="W7" s="15" t="s">
        <v>128</v>
      </c>
      <c r="X7" s="15">
        <v>100</v>
      </c>
      <c r="Y7" s="15"/>
    </row>
    <row r="8" spans="1:25" ht="18" customHeight="1">
      <c r="A8" s="13" t="s">
        <v>45</v>
      </c>
      <c r="B8" s="13">
        <v>5</v>
      </c>
      <c r="C8" s="13">
        <v>4</v>
      </c>
      <c r="D8" s="13">
        <v>2</v>
      </c>
      <c r="E8" s="13">
        <v>4</v>
      </c>
      <c r="F8" s="13">
        <v>1</v>
      </c>
      <c r="G8" s="13">
        <v>1</v>
      </c>
      <c r="H8" s="13">
        <v>2</v>
      </c>
      <c r="I8" s="13">
        <v>4</v>
      </c>
      <c r="J8" s="13">
        <v>3</v>
      </c>
      <c r="K8" s="13">
        <v>2</v>
      </c>
      <c r="L8" s="13">
        <v>8</v>
      </c>
      <c r="M8" s="13">
        <v>2</v>
      </c>
      <c r="N8" s="13">
        <v>3</v>
      </c>
      <c r="O8" s="13">
        <v>4</v>
      </c>
      <c r="P8" s="13">
        <v>4</v>
      </c>
      <c r="Q8" s="13">
        <v>2</v>
      </c>
      <c r="R8" s="13">
        <v>4</v>
      </c>
      <c r="S8" s="16">
        <f t="shared" ref="S8:S39" si="0">SUM(B8:H8)/SUM($B$7:$H$7)</f>
        <v>0.95</v>
      </c>
      <c r="T8" s="16">
        <f t="shared" ref="T8:T39" si="1">SUM(I8:L8)/SUM($I$7:$L$7)</f>
        <v>1</v>
      </c>
      <c r="U8" s="16">
        <f t="shared" ref="U8:U39" si="2">SUM(M8:O8)/SUM($M$7:$O$7)</f>
        <v>1</v>
      </c>
      <c r="V8" s="16">
        <f t="shared" ref="V8:V39" si="3">SUM(P8:R8)/SUM($P$7:$R$7)</f>
        <v>0.90909090909090906</v>
      </c>
      <c r="W8" s="13">
        <f t="shared" ref="W8:W39" si="4">SUM(B8:R8)</f>
        <v>55</v>
      </c>
      <c r="X8" s="16">
        <f t="shared" ref="X8:X39" si="5">W8/$W$7</f>
        <v>0.96491228070175439</v>
      </c>
      <c r="Y8" s="13">
        <f t="shared" ref="Y8:Y39" si="6">IF(X8&gt;=90%,7,IF(X8&gt;=75%,6,IF(X8&gt;=50%,5,IF(X8&gt;=35%,4,IF(X8&gt;=20%,3,IF(X8&gt;=10%,2,1))))))</f>
        <v>7</v>
      </c>
    </row>
    <row r="9" spans="1:25" ht="18" customHeight="1">
      <c r="A9" s="13" t="s">
        <v>46</v>
      </c>
      <c r="B9" s="13">
        <v>6</v>
      </c>
      <c r="C9" s="13">
        <v>4</v>
      </c>
      <c r="D9" s="13">
        <v>2</v>
      </c>
      <c r="E9" s="13">
        <v>4</v>
      </c>
      <c r="F9" s="13">
        <v>1</v>
      </c>
      <c r="G9" s="13">
        <v>1</v>
      </c>
      <c r="H9" s="13">
        <v>2</v>
      </c>
      <c r="I9" s="13">
        <v>4</v>
      </c>
      <c r="J9" s="13">
        <v>3</v>
      </c>
      <c r="K9" s="13">
        <v>0</v>
      </c>
      <c r="L9" s="13">
        <v>8</v>
      </c>
      <c r="M9" s="13">
        <v>2</v>
      </c>
      <c r="N9" s="13">
        <v>3</v>
      </c>
      <c r="O9" s="13">
        <v>4</v>
      </c>
      <c r="P9" s="13">
        <v>4</v>
      </c>
      <c r="Q9" s="13">
        <v>2</v>
      </c>
      <c r="R9" s="13">
        <v>5</v>
      </c>
      <c r="S9" s="16">
        <f t="shared" si="0"/>
        <v>1</v>
      </c>
      <c r="T9" s="16">
        <f t="shared" si="1"/>
        <v>0.88235294117647056</v>
      </c>
      <c r="U9" s="16">
        <f t="shared" si="2"/>
        <v>1</v>
      </c>
      <c r="V9" s="16">
        <f t="shared" si="3"/>
        <v>1</v>
      </c>
      <c r="W9" s="13">
        <f t="shared" si="4"/>
        <v>55</v>
      </c>
      <c r="X9" s="16">
        <f t="shared" si="5"/>
        <v>0.96491228070175439</v>
      </c>
      <c r="Y9" s="13">
        <f t="shared" si="6"/>
        <v>7</v>
      </c>
    </row>
    <row r="10" spans="1:25" ht="18" customHeight="1">
      <c r="A10" s="13" t="s">
        <v>47</v>
      </c>
      <c r="B10" s="13">
        <v>6</v>
      </c>
      <c r="C10" s="13">
        <v>2</v>
      </c>
      <c r="D10" s="13">
        <v>2</v>
      </c>
      <c r="E10" s="13">
        <v>4</v>
      </c>
      <c r="F10" s="13">
        <v>1</v>
      </c>
      <c r="G10" s="13">
        <v>1</v>
      </c>
      <c r="H10" s="13">
        <v>1</v>
      </c>
      <c r="I10" s="13">
        <v>4</v>
      </c>
      <c r="J10" s="13">
        <v>3</v>
      </c>
      <c r="K10" s="13">
        <v>2</v>
      </c>
      <c r="L10" s="13">
        <v>8</v>
      </c>
      <c r="M10" s="13">
        <v>2</v>
      </c>
      <c r="N10" s="13">
        <v>3</v>
      </c>
      <c r="O10" s="13">
        <v>4</v>
      </c>
      <c r="P10" s="13">
        <v>3</v>
      </c>
      <c r="Q10" s="13">
        <v>2</v>
      </c>
      <c r="R10" s="13">
        <v>5</v>
      </c>
      <c r="S10" s="16">
        <f t="shared" si="0"/>
        <v>0.85</v>
      </c>
      <c r="T10" s="16">
        <f t="shared" si="1"/>
        <v>1</v>
      </c>
      <c r="U10" s="16">
        <f t="shared" si="2"/>
        <v>1</v>
      </c>
      <c r="V10" s="16">
        <f t="shared" si="3"/>
        <v>0.90909090909090906</v>
      </c>
      <c r="W10" s="13">
        <f t="shared" si="4"/>
        <v>53</v>
      </c>
      <c r="X10" s="16">
        <f t="shared" si="5"/>
        <v>0.92982456140350878</v>
      </c>
      <c r="Y10" s="13">
        <f t="shared" si="6"/>
        <v>7</v>
      </c>
    </row>
    <row r="11" spans="1:25" ht="18" customHeight="1">
      <c r="A11" s="13" t="s">
        <v>48</v>
      </c>
      <c r="B11" s="13">
        <v>6</v>
      </c>
      <c r="C11" s="13">
        <v>4</v>
      </c>
      <c r="D11" s="13">
        <v>2</v>
      </c>
      <c r="E11" s="13">
        <v>4</v>
      </c>
      <c r="F11" s="13">
        <v>1</v>
      </c>
      <c r="G11" s="13">
        <v>1</v>
      </c>
      <c r="H11" s="13">
        <v>2</v>
      </c>
      <c r="I11" s="13">
        <v>4</v>
      </c>
      <c r="J11" s="13">
        <v>3</v>
      </c>
      <c r="K11" s="13">
        <v>2</v>
      </c>
      <c r="L11" s="13">
        <v>8</v>
      </c>
      <c r="M11" s="13">
        <v>2</v>
      </c>
      <c r="N11" s="13">
        <v>3</v>
      </c>
      <c r="O11" s="13">
        <v>4</v>
      </c>
      <c r="P11" s="13">
        <v>3</v>
      </c>
      <c r="Q11" s="13">
        <v>2</v>
      </c>
      <c r="R11" s="13">
        <v>2</v>
      </c>
      <c r="S11" s="16">
        <f t="shared" si="0"/>
        <v>1</v>
      </c>
      <c r="T11" s="16">
        <f t="shared" si="1"/>
        <v>1</v>
      </c>
      <c r="U11" s="16">
        <f t="shared" si="2"/>
        <v>1</v>
      </c>
      <c r="V11" s="16">
        <f t="shared" si="3"/>
        <v>0.63636363636363635</v>
      </c>
      <c r="W11" s="13">
        <f t="shared" si="4"/>
        <v>53</v>
      </c>
      <c r="X11" s="16">
        <f t="shared" si="5"/>
        <v>0.92982456140350878</v>
      </c>
      <c r="Y11" s="13">
        <f t="shared" si="6"/>
        <v>7</v>
      </c>
    </row>
    <row r="12" spans="1:25" ht="18" customHeight="1">
      <c r="A12" s="13" t="s">
        <v>49</v>
      </c>
      <c r="B12" s="13">
        <v>4</v>
      </c>
      <c r="C12" s="13">
        <v>4</v>
      </c>
      <c r="D12" s="13">
        <v>2</v>
      </c>
      <c r="E12" s="13">
        <v>4</v>
      </c>
      <c r="F12" s="13">
        <v>1</v>
      </c>
      <c r="G12" s="13">
        <v>1</v>
      </c>
      <c r="H12" s="13">
        <v>2</v>
      </c>
      <c r="I12" s="13">
        <v>4</v>
      </c>
      <c r="J12" s="13">
        <v>3</v>
      </c>
      <c r="K12" s="13">
        <v>0</v>
      </c>
      <c r="L12" s="13">
        <v>8</v>
      </c>
      <c r="M12" s="13">
        <v>2</v>
      </c>
      <c r="N12" s="13">
        <v>3</v>
      </c>
      <c r="O12" s="13">
        <v>4</v>
      </c>
      <c r="P12" s="13">
        <v>4</v>
      </c>
      <c r="Q12" s="13">
        <v>2</v>
      </c>
      <c r="R12" s="13">
        <v>5</v>
      </c>
      <c r="S12" s="16">
        <f t="shared" si="0"/>
        <v>0.9</v>
      </c>
      <c r="T12" s="16">
        <f t="shared" si="1"/>
        <v>0.88235294117647056</v>
      </c>
      <c r="U12" s="16">
        <f t="shared" si="2"/>
        <v>1</v>
      </c>
      <c r="V12" s="16">
        <f t="shared" si="3"/>
        <v>1</v>
      </c>
      <c r="W12" s="13">
        <f t="shared" si="4"/>
        <v>53</v>
      </c>
      <c r="X12" s="16">
        <f t="shared" si="5"/>
        <v>0.92982456140350878</v>
      </c>
      <c r="Y12" s="13">
        <f t="shared" si="6"/>
        <v>7</v>
      </c>
    </row>
    <row r="13" spans="1:25" ht="18" customHeight="1">
      <c r="A13" s="13" t="s">
        <v>50</v>
      </c>
      <c r="B13" s="13">
        <v>6</v>
      </c>
      <c r="C13" s="13">
        <v>4</v>
      </c>
      <c r="D13" s="13">
        <v>2</v>
      </c>
      <c r="E13" s="13">
        <v>4</v>
      </c>
      <c r="F13" s="13">
        <v>1</v>
      </c>
      <c r="G13" s="13">
        <v>1</v>
      </c>
      <c r="H13" s="13">
        <v>1</v>
      </c>
      <c r="I13" s="13">
        <v>4</v>
      </c>
      <c r="J13" s="13">
        <v>3</v>
      </c>
      <c r="K13" s="13">
        <v>0</v>
      </c>
      <c r="L13" s="13">
        <v>4</v>
      </c>
      <c r="M13" s="13">
        <v>2</v>
      </c>
      <c r="N13" s="13">
        <v>3</v>
      </c>
      <c r="O13" s="13">
        <v>4</v>
      </c>
      <c r="P13" s="13">
        <v>4</v>
      </c>
      <c r="Q13" s="13">
        <v>2</v>
      </c>
      <c r="R13" s="13">
        <v>5</v>
      </c>
      <c r="S13" s="16">
        <f t="shared" si="0"/>
        <v>0.95</v>
      </c>
      <c r="T13" s="16">
        <f t="shared" si="1"/>
        <v>0.6470588235294118</v>
      </c>
      <c r="U13" s="16">
        <f t="shared" si="2"/>
        <v>1</v>
      </c>
      <c r="V13" s="16">
        <f t="shared" si="3"/>
        <v>1</v>
      </c>
      <c r="W13" s="13">
        <f t="shared" si="4"/>
        <v>50</v>
      </c>
      <c r="X13" s="16">
        <f t="shared" si="5"/>
        <v>0.8771929824561403</v>
      </c>
      <c r="Y13" s="13">
        <f t="shared" si="6"/>
        <v>6</v>
      </c>
    </row>
    <row r="14" spans="1:25" ht="18" customHeight="1">
      <c r="A14" s="13" t="s">
        <v>51</v>
      </c>
      <c r="B14" s="13">
        <v>6</v>
      </c>
      <c r="C14" s="13">
        <v>4</v>
      </c>
      <c r="D14" s="13">
        <v>2</v>
      </c>
      <c r="E14" s="13">
        <v>4</v>
      </c>
      <c r="F14" s="13">
        <v>1</v>
      </c>
      <c r="G14" s="13">
        <v>0</v>
      </c>
      <c r="H14" s="13">
        <v>2</v>
      </c>
      <c r="I14" s="13">
        <v>4</v>
      </c>
      <c r="J14" s="13">
        <v>3</v>
      </c>
      <c r="K14" s="13">
        <v>2</v>
      </c>
      <c r="L14" s="13">
        <v>6</v>
      </c>
      <c r="M14" s="13">
        <v>2</v>
      </c>
      <c r="N14" s="13">
        <v>3</v>
      </c>
      <c r="O14" s="13">
        <v>3</v>
      </c>
      <c r="P14" s="13">
        <v>3</v>
      </c>
      <c r="Q14" s="13">
        <v>2</v>
      </c>
      <c r="R14" s="13">
        <v>3</v>
      </c>
      <c r="S14" s="16">
        <f t="shared" si="0"/>
        <v>0.95</v>
      </c>
      <c r="T14" s="16">
        <f t="shared" si="1"/>
        <v>0.88235294117647056</v>
      </c>
      <c r="U14" s="16">
        <f t="shared" si="2"/>
        <v>0.88888888888888884</v>
      </c>
      <c r="V14" s="16">
        <f t="shared" si="3"/>
        <v>0.72727272727272729</v>
      </c>
      <c r="W14" s="13">
        <f t="shared" si="4"/>
        <v>50</v>
      </c>
      <c r="X14" s="16">
        <f t="shared" si="5"/>
        <v>0.8771929824561403</v>
      </c>
      <c r="Y14" s="13">
        <f t="shared" si="6"/>
        <v>6</v>
      </c>
    </row>
    <row r="15" spans="1:25" ht="18" customHeight="1">
      <c r="A15" s="13" t="s">
        <v>52</v>
      </c>
      <c r="B15" s="13">
        <v>6</v>
      </c>
      <c r="C15" s="13">
        <v>4</v>
      </c>
      <c r="D15" s="13">
        <v>2</v>
      </c>
      <c r="E15" s="13">
        <v>4</v>
      </c>
      <c r="F15" s="13">
        <v>1</v>
      </c>
      <c r="G15" s="13">
        <v>1</v>
      </c>
      <c r="H15" s="13">
        <v>2</v>
      </c>
      <c r="I15" s="13">
        <v>4</v>
      </c>
      <c r="J15" s="13">
        <v>0</v>
      </c>
      <c r="K15" s="13">
        <v>2</v>
      </c>
      <c r="L15" s="13">
        <v>5</v>
      </c>
      <c r="M15" s="13">
        <v>2</v>
      </c>
      <c r="N15" s="13">
        <v>3</v>
      </c>
      <c r="O15" s="13">
        <v>4</v>
      </c>
      <c r="P15" s="13">
        <v>3</v>
      </c>
      <c r="Q15" s="13">
        <v>2</v>
      </c>
      <c r="R15" s="13">
        <v>3</v>
      </c>
      <c r="S15" s="16">
        <f t="shared" si="0"/>
        <v>1</v>
      </c>
      <c r="T15" s="16">
        <f t="shared" si="1"/>
        <v>0.6470588235294118</v>
      </c>
      <c r="U15" s="16">
        <f t="shared" si="2"/>
        <v>1</v>
      </c>
      <c r="V15" s="16">
        <f t="shared" si="3"/>
        <v>0.72727272727272729</v>
      </c>
      <c r="W15" s="13">
        <f t="shared" si="4"/>
        <v>48</v>
      </c>
      <c r="X15" s="16">
        <f t="shared" si="5"/>
        <v>0.84210526315789469</v>
      </c>
      <c r="Y15" s="13">
        <f t="shared" si="6"/>
        <v>6</v>
      </c>
    </row>
    <row r="16" spans="1:25" ht="18" customHeight="1">
      <c r="A16" s="13" t="s">
        <v>53</v>
      </c>
      <c r="B16" s="13">
        <v>3</v>
      </c>
      <c r="C16" s="13">
        <v>4</v>
      </c>
      <c r="D16" s="13">
        <v>2</v>
      </c>
      <c r="E16" s="13">
        <v>4</v>
      </c>
      <c r="F16" s="13">
        <v>1</v>
      </c>
      <c r="G16" s="13">
        <v>1</v>
      </c>
      <c r="H16" s="13">
        <v>2</v>
      </c>
      <c r="I16" s="13">
        <v>4</v>
      </c>
      <c r="J16" s="13">
        <v>3</v>
      </c>
      <c r="K16" s="13">
        <v>2</v>
      </c>
      <c r="L16" s="13">
        <v>5</v>
      </c>
      <c r="M16" s="13">
        <v>2</v>
      </c>
      <c r="N16" s="13">
        <v>3</v>
      </c>
      <c r="O16" s="13">
        <v>4</v>
      </c>
      <c r="P16" s="13">
        <v>2</v>
      </c>
      <c r="Q16" s="13">
        <v>1</v>
      </c>
      <c r="R16" s="13">
        <v>5</v>
      </c>
      <c r="S16" s="16">
        <f t="shared" si="0"/>
        <v>0.85</v>
      </c>
      <c r="T16" s="16">
        <f t="shared" si="1"/>
        <v>0.82352941176470584</v>
      </c>
      <c r="U16" s="16">
        <f t="shared" si="2"/>
        <v>1</v>
      </c>
      <c r="V16" s="16">
        <f t="shared" si="3"/>
        <v>0.72727272727272729</v>
      </c>
      <c r="W16" s="13">
        <f t="shared" si="4"/>
        <v>48</v>
      </c>
      <c r="X16" s="16">
        <f t="shared" si="5"/>
        <v>0.84210526315789469</v>
      </c>
      <c r="Y16" s="13">
        <f t="shared" si="6"/>
        <v>6</v>
      </c>
    </row>
    <row r="17" spans="1:25" ht="18" customHeight="1">
      <c r="A17" s="13" t="s">
        <v>54</v>
      </c>
      <c r="B17" s="13">
        <v>6</v>
      </c>
      <c r="C17" s="13">
        <v>4</v>
      </c>
      <c r="D17" s="13">
        <v>2</v>
      </c>
      <c r="E17" s="13">
        <v>4</v>
      </c>
      <c r="F17" s="13">
        <v>1</v>
      </c>
      <c r="G17" s="13">
        <v>1</v>
      </c>
      <c r="H17" s="13">
        <v>0</v>
      </c>
      <c r="I17" s="13">
        <v>2</v>
      </c>
      <c r="J17" s="13">
        <v>0</v>
      </c>
      <c r="K17" s="13">
        <v>0</v>
      </c>
      <c r="L17" s="13">
        <v>8</v>
      </c>
      <c r="M17" s="13">
        <v>2</v>
      </c>
      <c r="N17" s="13">
        <v>3</v>
      </c>
      <c r="O17" s="13">
        <v>4</v>
      </c>
      <c r="P17" s="13">
        <v>3</v>
      </c>
      <c r="Q17" s="13">
        <v>2</v>
      </c>
      <c r="R17" s="13">
        <v>5</v>
      </c>
      <c r="S17" s="16">
        <f t="shared" si="0"/>
        <v>0.9</v>
      </c>
      <c r="T17" s="16">
        <f t="shared" si="1"/>
        <v>0.58823529411764708</v>
      </c>
      <c r="U17" s="16">
        <f t="shared" si="2"/>
        <v>1</v>
      </c>
      <c r="V17" s="16">
        <f t="shared" si="3"/>
        <v>0.90909090909090906</v>
      </c>
      <c r="W17" s="13">
        <f t="shared" si="4"/>
        <v>47</v>
      </c>
      <c r="X17" s="16">
        <f t="shared" si="5"/>
        <v>0.82456140350877194</v>
      </c>
      <c r="Y17" s="13">
        <f t="shared" si="6"/>
        <v>6</v>
      </c>
    </row>
    <row r="18" spans="1:25" ht="18" customHeight="1">
      <c r="A18" s="13" t="s">
        <v>55</v>
      </c>
      <c r="B18" s="13">
        <v>6</v>
      </c>
      <c r="C18" s="13">
        <v>1</v>
      </c>
      <c r="D18" s="13">
        <v>2</v>
      </c>
      <c r="E18" s="13">
        <v>4</v>
      </c>
      <c r="F18" s="13">
        <v>1</v>
      </c>
      <c r="G18" s="13">
        <v>1</v>
      </c>
      <c r="H18" s="13">
        <v>1</v>
      </c>
      <c r="I18" s="13">
        <v>4</v>
      </c>
      <c r="J18" s="13">
        <v>3</v>
      </c>
      <c r="K18" s="13">
        <v>0</v>
      </c>
      <c r="L18" s="13">
        <v>8</v>
      </c>
      <c r="M18" s="13">
        <v>2</v>
      </c>
      <c r="N18" s="13">
        <v>1</v>
      </c>
      <c r="O18" s="13">
        <v>4</v>
      </c>
      <c r="P18" s="13">
        <v>2</v>
      </c>
      <c r="Q18" s="13">
        <v>0</v>
      </c>
      <c r="R18" s="13">
        <v>3</v>
      </c>
      <c r="S18" s="16">
        <f t="shared" si="0"/>
        <v>0.8</v>
      </c>
      <c r="T18" s="16">
        <f t="shared" si="1"/>
        <v>0.88235294117647056</v>
      </c>
      <c r="U18" s="16">
        <f t="shared" si="2"/>
        <v>0.77777777777777779</v>
      </c>
      <c r="V18" s="16">
        <f t="shared" si="3"/>
        <v>0.45454545454545453</v>
      </c>
      <c r="W18" s="13">
        <f t="shared" si="4"/>
        <v>43</v>
      </c>
      <c r="X18" s="16">
        <f t="shared" si="5"/>
        <v>0.75438596491228072</v>
      </c>
      <c r="Y18" s="13">
        <f t="shared" si="6"/>
        <v>6</v>
      </c>
    </row>
    <row r="19" spans="1:25" ht="18" customHeight="1">
      <c r="A19" s="13" t="s">
        <v>56</v>
      </c>
      <c r="B19" s="13">
        <v>4</v>
      </c>
      <c r="C19" s="13">
        <v>4</v>
      </c>
      <c r="D19" s="13">
        <v>2</v>
      </c>
      <c r="E19" s="13">
        <v>4</v>
      </c>
      <c r="F19" s="13">
        <v>1</v>
      </c>
      <c r="G19" s="13">
        <v>1</v>
      </c>
      <c r="H19" s="13">
        <v>2</v>
      </c>
      <c r="I19" s="13">
        <v>2</v>
      </c>
      <c r="J19" s="13">
        <v>3</v>
      </c>
      <c r="K19" s="13">
        <v>2</v>
      </c>
      <c r="L19" s="13">
        <v>8</v>
      </c>
      <c r="M19" s="13">
        <v>2</v>
      </c>
      <c r="N19" s="13">
        <v>3</v>
      </c>
      <c r="O19" s="13">
        <v>1</v>
      </c>
      <c r="P19" s="13">
        <v>0</v>
      </c>
      <c r="Q19" s="13">
        <v>2</v>
      </c>
      <c r="R19" s="13">
        <v>2</v>
      </c>
      <c r="S19" s="16">
        <f t="shared" si="0"/>
        <v>0.9</v>
      </c>
      <c r="T19" s="16">
        <f t="shared" si="1"/>
        <v>0.88235294117647056</v>
      </c>
      <c r="U19" s="16">
        <f t="shared" si="2"/>
        <v>0.66666666666666663</v>
      </c>
      <c r="V19" s="16">
        <f t="shared" si="3"/>
        <v>0.36363636363636365</v>
      </c>
      <c r="W19" s="13">
        <f t="shared" si="4"/>
        <v>43</v>
      </c>
      <c r="X19" s="16">
        <f t="shared" si="5"/>
        <v>0.75438596491228072</v>
      </c>
      <c r="Y19" s="13">
        <f t="shared" si="6"/>
        <v>6</v>
      </c>
    </row>
    <row r="20" spans="1:25" ht="18" customHeight="1">
      <c r="A20" s="13" t="s">
        <v>57</v>
      </c>
      <c r="B20" s="13">
        <v>6</v>
      </c>
      <c r="C20" s="13">
        <v>4</v>
      </c>
      <c r="D20" s="13">
        <v>2</v>
      </c>
      <c r="E20" s="13">
        <v>4</v>
      </c>
      <c r="F20" s="13">
        <v>0</v>
      </c>
      <c r="G20" s="13">
        <v>1</v>
      </c>
      <c r="H20" s="13">
        <v>2</v>
      </c>
      <c r="I20" s="13">
        <v>2</v>
      </c>
      <c r="J20" s="13">
        <v>0</v>
      </c>
      <c r="K20" s="13">
        <v>2</v>
      </c>
      <c r="L20" s="13">
        <v>3</v>
      </c>
      <c r="M20" s="13">
        <v>2</v>
      </c>
      <c r="N20" s="13">
        <v>3</v>
      </c>
      <c r="O20" s="13">
        <v>4</v>
      </c>
      <c r="P20" s="13">
        <v>3</v>
      </c>
      <c r="Q20" s="13">
        <v>2</v>
      </c>
      <c r="R20" s="13">
        <v>1</v>
      </c>
      <c r="S20" s="16">
        <f t="shared" si="0"/>
        <v>0.95</v>
      </c>
      <c r="T20" s="16">
        <f t="shared" si="1"/>
        <v>0.41176470588235292</v>
      </c>
      <c r="U20" s="16">
        <f t="shared" si="2"/>
        <v>1</v>
      </c>
      <c r="V20" s="16">
        <f t="shared" si="3"/>
        <v>0.54545454545454541</v>
      </c>
      <c r="W20" s="13">
        <f t="shared" si="4"/>
        <v>41</v>
      </c>
      <c r="X20" s="16">
        <f t="shared" si="5"/>
        <v>0.7192982456140351</v>
      </c>
      <c r="Y20" s="13">
        <f t="shared" si="6"/>
        <v>5</v>
      </c>
    </row>
    <row r="21" spans="1:25" ht="18" customHeight="1">
      <c r="A21" s="13" t="s">
        <v>58</v>
      </c>
      <c r="B21" s="13">
        <v>5</v>
      </c>
      <c r="C21" s="13">
        <v>4</v>
      </c>
      <c r="D21" s="13">
        <v>2</v>
      </c>
      <c r="E21" s="13">
        <v>4</v>
      </c>
      <c r="F21" s="13">
        <v>1</v>
      </c>
      <c r="G21" s="13">
        <v>0</v>
      </c>
      <c r="H21" s="13">
        <v>1</v>
      </c>
      <c r="I21" s="13">
        <v>4</v>
      </c>
      <c r="J21" s="13">
        <v>2</v>
      </c>
      <c r="K21" s="13">
        <v>1</v>
      </c>
      <c r="L21" s="13">
        <v>2</v>
      </c>
      <c r="M21" s="13">
        <v>2</v>
      </c>
      <c r="N21" s="13">
        <v>2</v>
      </c>
      <c r="O21" s="13">
        <v>2</v>
      </c>
      <c r="P21" s="13">
        <v>2</v>
      </c>
      <c r="Q21" s="13">
        <v>2</v>
      </c>
      <c r="R21" s="13">
        <v>4</v>
      </c>
      <c r="S21" s="16">
        <f t="shared" si="0"/>
        <v>0.85</v>
      </c>
      <c r="T21" s="16">
        <f t="shared" si="1"/>
        <v>0.52941176470588236</v>
      </c>
      <c r="U21" s="16">
        <f t="shared" si="2"/>
        <v>0.66666666666666663</v>
      </c>
      <c r="V21" s="16">
        <f t="shared" si="3"/>
        <v>0.72727272727272729</v>
      </c>
      <c r="W21" s="13">
        <f t="shared" si="4"/>
        <v>40</v>
      </c>
      <c r="X21" s="16">
        <f t="shared" si="5"/>
        <v>0.70175438596491224</v>
      </c>
      <c r="Y21" s="13">
        <f t="shared" si="6"/>
        <v>5</v>
      </c>
    </row>
    <row r="22" spans="1:25" ht="18" customHeight="1">
      <c r="A22" s="13" t="s">
        <v>59</v>
      </c>
      <c r="B22" s="13">
        <v>6</v>
      </c>
      <c r="C22" s="13">
        <v>1</v>
      </c>
      <c r="D22" s="13">
        <v>2</v>
      </c>
      <c r="E22" s="13">
        <v>4</v>
      </c>
      <c r="F22" s="13">
        <v>1</v>
      </c>
      <c r="G22" s="13">
        <v>1</v>
      </c>
      <c r="H22" s="13">
        <v>1</v>
      </c>
      <c r="I22" s="13">
        <v>4</v>
      </c>
      <c r="J22" s="13">
        <v>3</v>
      </c>
      <c r="K22" s="13">
        <v>2</v>
      </c>
      <c r="L22" s="13">
        <v>0</v>
      </c>
      <c r="M22" s="13">
        <v>2</v>
      </c>
      <c r="N22" s="13">
        <v>3</v>
      </c>
      <c r="O22" s="13">
        <v>4</v>
      </c>
      <c r="P22" s="13">
        <v>1</v>
      </c>
      <c r="Q22" s="13">
        <v>2</v>
      </c>
      <c r="R22" s="13">
        <v>3</v>
      </c>
      <c r="S22" s="16">
        <f t="shared" si="0"/>
        <v>0.8</v>
      </c>
      <c r="T22" s="16">
        <f t="shared" si="1"/>
        <v>0.52941176470588236</v>
      </c>
      <c r="U22" s="16">
        <f t="shared" si="2"/>
        <v>1</v>
      </c>
      <c r="V22" s="16">
        <f t="shared" si="3"/>
        <v>0.54545454545454541</v>
      </c>
      <c r="W22" s="13">
        <f t="shared" si="4"/>
        <v>40</v>
      </c>
      <c r="X22" s="16">
        <f t="shared" si="5"/>
        <v>0.70175438596491224</v>
      </c>
      <c r="Y22" s="13">
        <f t="shared" si="6"/>
        <v>5</v>
      </c>
    </row>
    <row r="23" spans="1:25" ht="18" customHeight="1">
      <c r="A23" s="13" t="s">
        <v>60</v>
      </c>
      <c r="B23" s="13">
        <v>6</v>
      </c>
      <c r="C23" s="13">
        <v>4</v>
      </c>
      <c r="D23" s="13">
        <v>2</v>
      </c>
      <c r="E23" s="13">
        <v>3</v>
      </c>
      <c r="F23" s="13">
        <v>0</v>
      </c>
      <c r="G23" s="13">
        <v>1</v>
      </c>
      <c r="H23" s="13">
        <v>1</v>
      </c>
      <c r="I23" s="13">
        <v>2</v>
      </c>
      <c r="J23" s="13">
        <v>1</v>
      </c>
      <c r="K23" s="13">
        <v>0</v>
      </c>
      <c r="L23" s="13">
        <v>3</v>
      </c>
      <c r="M23" s="13">
        <v>1</v>
      </c>
      <c r="N23" s="13">
        <v>3</v>
      </c>
      <c r="O23" s="13">
        <v>3</v>
      </c>
      <c r="P23" s="13">
        <v>0</v>
      </c>
      <c r="Q23" s="13">
        <v>1</v>
      </c>
      <c r="R23" s="13">
        <v>2</v>
      </c>
      <c r="S23" s="16">
        <f t="shared" si="0"/>
        <v>0.85</v>
      </c>
      <c r="T23" s="16">
        <f t="shared" si="1"/>
        <v>0.35294117647058826</v>
      </c>
      <c r="U23" s="16">
        <f t="shared" si="2"/>
        <v>0.77777777777777779</v>
      </c>
      <c r="V23" s="16">
        <f t="shared" si="3"/>
        <v>0.27272727272727271</v>
      </c>
      <c r="W23" s="13">
        <f t="shared" si="4"/>
        <v>33</v>
      </c>
      <c r="X23" s="16">
        <f t="shared" si="5"/>
        <v>0.57894736842105265</v>
      </c>
      <c r="Y23" s="13">
        <f t="shared" si="6"/>
        <v>5</v>
      </c>
    </row>
    <row r="24" spans="1:25" ht="18" customHeight="1">
      <c r="A24" s="13" t="s">
        <v>61</v>
      </c>
      <c r="B24" s="13">
        <v>6</v>
      </c>
      <c r="C24" s="13">
        <v>4</v>
      </c>
      <c r="D24" s="13">
        <v>0</v>
      </c>
      <c r="E24" s="13">
        <v>4</v>
      </c>
      <c r="F24" s="13">
        <v>1</v>
      </c>
      <c r="G24" s="13">
        <v>0</v>
      </c>
      <c r="H24" s="13">
        <v>1</v>
      </c>
      <c r="I24" s="13">
        <v>2</v>
      </c>
      <c r="J24" s="13">
        <v>0</v>
      </c>
      <c r="K24" s="13">
        <v>1</v>
      </c>
      <c r="L24" s="13">
        <v>4</v>
      </c>
      <c r="M24" s="13">
        <v>2</v>
      </c>
      <c r="N24" s="13">
        <v>3</v>
      </c>
      <c r="O24" s="13">
        <v>2</v>
      </c>
      <c r="P24" s="13">
        <v>0</v>
      </c>
      <c r="Q24" s="13">
        <v>1</v>
      </c>
      <c r="R24" s="13">
        <v>0</v>
      </c>
      <c r="S24" s="16">
        <f t="shared" si="0"/>
        <v>0.8</v>
      </c>
      <c r="T24" s="16">
        <f t="shared" si="1"/>
        <v>0.41176470588235292</v>
      </c>
      <c r="U24" s="16">
        <f t="shared" si="2"/>
        <v>0.77777777777777779</v>
      </c>
      <c r="V24" s="16">
        <f t="shared" si="3"/>
        <v>9.0909090909090912E-2</v>
      </c>
      <c r="W24" s="13">
        <f t="shared" si="4"/>
        <v>31</v>
      </c>
      <c r="X24" s="16">
        <f t="shared" si="5"/>
        <v>0.54385964912280704</v>
      </c>
      <c r="Y24" s="13">
        <f t="shared" si="6"/>
        <v>5</v>
      </c>
    </row>
    <row r="25" spans="1:25" ht="18" customHeight="1">
      <c r="A25" s="13" t="s">
        <v>62</v>
      </c>
      <c r="B25" s="13">
        <v>5</v>
      </c>
      <c r="C25" s="13">
        <v>4</v>
      </c>
      <c r="D25" s="13">
        <v>2</v>
      </c>
      <c r="E25" s="13">
        <v>3</v>
      </c>
      <c r="F25" s="13">
        <v>1</v>
      </c>
      <c r="G25" s="13">
        <v>0</v>
      </c>
      <c r="H25" s="13">
        <v>1</v>
      </c>
      <c r="I25" s="13">
        <v>4</v>
      </c>
      <c r="J25" s="13">
        <v>4</v>
      </c>
      <c r="K25" s="13">
        <v>0</v>
      </c>
      <c r="L25" s="13">
        <v>2</v>
      </c>
      <c r="M25" s="13">
        <v>1</v>
      </c>
      <c r="N25" s="13">
        <v>0</v>
      </c>
      <c r="O25" s="13">
        <v>2</v>
      </c>
      <c r="P25" s="13">
        <v>0</v>
      </c>
      <c r="Q25" s="13">
        <v>2</v>
      </c>
      <c r="R25" s="13">
        <v>0</v>
      </c>
      <c r="S25" s="16">
        <f t="shared" si="0"/>
        <v>0.8</v>
      </c>
      <c r="T25" s="16">
        <f t="shared" si="1"/>
        <v>0.58823529411764708</v>
      </c>
      <c r="U25" s="16">
        <f t="shared" si="2"/>
        <v>0.33333333333333331</v>
      </c>
      <c r="V25" s="16">
        <f t="shared" si="3"/>
        <v>0.18181818181818182</v>
      </c>
      <c r="W25" s="13">
        <f t="shared" si="4"/>
        <v>31</v>
      </c>
      <c r="X25" s="16">
        <f t="shared" si="5"/>
        <v>0.54385964912280704</v>
      </c>
      <c r="Y25" s="13">
        <f t="shared" si="6"/>
        <v>5</v>
      </c>
    </row>
    <row r="26" spans="1:25" ht="18" customHeight="1">
      <c r="A26" s="13" t="s">
        <v>63</v>
      </c>
      <c r="B26" s="13">
        <v>6</v>
      </c>
      <c r="C26" s="13">
        <v>0</v>
      </c>
      <c r="D26" s="13">
        <v>2</v>
      </c>
      <c r="E26" s="13">
        <v>1</v>
      </c>
      <c r="F26" s="13">
        <v>1</v>
      </c>
      <c r="G26" s="13">
        <v>0</v>
      </c>
      <c r="H26" s="13">
        <v>1</v>
      </c>
      <c r="I26" s="13">
        <v>3</v>
      </c>
      <c r="J26" s="13">
        <v>2</v>
      </c>
      <c r="K26" s="13">
        <v>0</v>
      </c>
      <c r="L26" s="13">
        <v>0</v>
      </c>
      <c r="M26" s="13">
        <v>2</v>
      </c>
      <c r="N26" s="13">
        <v>1</v>
      </c>
      <c r="O26" s="13">
        <v>3</v>
      </c>
      <c r="P26" s="13">
        <v>2</v>
      </c>
      <c r="Q26" s="13">
        <v>2</v>
      </c>
      <c r="R26" s="13">
        <v>4</v>
      </c>
      <c r="S26" s="16">
        <f t="shared" si="0"/>
        <v>0.55000000000000004</v>
      </c>
      <c r="T26" s="16">
        <f t="shared" si="1"/>
        <v>0.29411764705882354</v>
      </c>
      <c r="U26" s="16">
        <f t="shared" si="2"/>
        <v>0.66666666666666663</v>
      </c>
      <c r="V26" s="16">
        <f t="shared" si="3"/>
        <v>0.72727272727272729</v>
      </c>
      <c r="W26" s="13">
        <f t="shared" si="4"/>
        <v>30</v>
      </c>
      <c r="X26" s="16">
        <f t="shared" si="5"/>
        <v>0.52631578947368418</v>
      </c>
      <c r="Y26" s="13">
        <f t="shared" si="6"/>
        <v>5</v>
      </c>
    </row>
    <row r="27" spans="1:25" ht="18" customHeight="1">
      <c r="A27" s="13" t="s">
        <v>64</v>
      </c>
      <c r="B27" s="13">
        <v>5</v>
      </c>
      <c r="C27" s="13">
        <v>2</v>
      </c>
      <c r="D27" s="13">
        <v>0</v>
      </c>
      <c r="E27" s="13">
        <v>2</v>
      </c>
      <c r="F27" s="13">
        <v>1</v>
      </c>
      <c r="G27" s="13">
        <v>1</v>
      </c>
      <c r="H27" s="13">
        <v>1</v>
      </c>
      <c r="I27" s="13">
        <v>3</v>
      </c>
      <c r="J27" s="13">
        <v>0</v>
      </c>
      <c r="K27" s="13">
        <v>0</v>
      </c>
      <c r="L27" s="13">
        <v>8</v>
      </c>
      <c r="M27" s="13">
        <v>0</v>
      </c>
      <c r="N27" s="13">
        <v>3</v>
      </c>
      <c r="O27" s="13">
        <v>2</v>
      </c>
      <c r="P27" s="13">
        <v>0</v>
      </c>
      <c r="Q27" s="13">
        <v>0</v>
      </c>
      <c r="R27" s="13">
        <v>0</v>
      </c>
      <c r="S27" s="16">
        <f t="shared" si="0"/>
        <v>0.6</v>
      </c>
      <c r="T27" s="16">
        <f t="shared" si="1"/>
        <v>0.6470588235294118</v>
      </c>
      <c r="U27" s="16">
        <f t="shared" si="2"/>
        <v>0.55555555555555558</v>
      </c>
      <c r="V27" s="16">
        <f t="shared" si="3"/>
        <v>0</v>
      </c>
      <c r="W27" s="13">
        <f t="shared" si="4"/>
        <v>28</v>
      </c>
      <c r="X27" s="16">
        <f t="shared" si="5"/>
        <v>0.49122807017543857</v>
      </c>
      <c r="Y27" s="13">
        <f t="shared" si="6"/>
        <v>4</v>
      </c>
    </row>
    <row r="28" spans="1:25" ht="18" customHeight="1">
      <c r="A28" s="13" t="s">
        <v>65</v>
      </c>
      <c r="B28" s="13">
        <v>6</v>
      </c>
      <c r="C28" s="13">
        <v>4</v>
      </c>
      <c r="D28" s="13">
        <v>0</v>
      </c>
      <c r="E28" s="13">
        <v>3</v>
      </c>
      <c r="F28" s="13">
        <v>1</v>
      </c>
      <c r="G28" s="13">
        <v>0</v>
      </c>
      <c r="H28" s="13">
        <v>0</v>
      </c>
      <c r="I28" s="13">
        <v>4</v>
      </c>
      <c r="J28" s="13">
        <v>0</v>
      </c>
      <c r="K28" s="13">
        <v>0</v>
      </c>
      <c r="L28" s="13">
        <v>0</v>
      </c>
      <c r="M28" s="13">
        <v>2</v>
      </c>
      <c r="N28" s="13">
        <v>0</v>
      </c>
      <c r="O28" s="13">
        <v>0</v>
      </c>
      <c r="P28" s="13">
        <v>2</v>
      </c>
      <c r="Q28" s="13">
        <v>2</v>
      </c>
      <c r="R28" s="13">
        <v>5</v>
      </c>
      <c r="S28" s="16">
        <f t="shared" si="0"/>
        <v>0.7</v>
      </c>
      <c r="T28" s="16">
        <f t="shared" si="1"/>
        <v>0.23529411764705882</v>
      </c>
      <c r="U28" s="16">
        <f t="shared" si="2"/>
        <v>0.22222222222222221</v>
      </c>
      <c r="V28" s="16">
        <f t="shared" si="3"/>
        <v>0.81818181818181823</v>
      </c>
      <c r="W28" s="13">
        <f t="shared" si="4"/>
        <v>29</v>
      </c>
      <c r="X28" s="16">
        <f t="shared" si="5"/>
        <v>0.50877192982456143</v>
      </c>
      <c r="Y28" s="13">
        <f t="shared" si="6"/>
        <v>5</v>
      </c>
    </row>
    <row r="29" spans="1:25" ht="18" customHeight="1">
      <c r="A29" s="13" t="s">
        <v>66</v>
      </c>
      <c r="B29" s="13">
        <v>6</v>
      </c>
      <c r="C29" s="13">
        <v>3</v>
      </c>
      <c r="D29" s="13">
        <v>0</v>
      </c>
      <c r="E29" s="13">
        <v>1</v>
      </c>
      <c r="F29" s="13">
        <v>1</v>
      </c>
      <c r="G29" s="13">
        <v>1</v>
      </c>
      <c r="H29" s="13">
        <v>1</v>
      </c>
      <c r="I29" s="13">
        <v>2</v>
      </c>
      <c r="J29" s="13">
        <v>0</v>
      </c>
      <c r="K29" s="13">
        <v>0</v>
      </c>
      <c r="L29" s="13">
        <v>0</v>
      </c>
      <c r="M29" s="13">
        <v>2</v>
      </c>
      <c r="N29" s="13">
        <v>0</v>
      </c>
      <c r="O29" s="13">
        <v>3</v>
      </c>
      <c r="P29" s="13">
        <v>2</v>
      </c>
      <c r="Q29" s="13">
        <v>2</v>
      </c>
      <c r="R29" s="13">
        <v>1</v>
      </c>
      <c r="S29" s="16">
        <f t="shared" si="0"/>
        <v>0.65</v>
      </c>
      <c r="T29" s="16">
        <f t="shared" si="1"/>
        <v>0.11764705882352941</v>
      </c>
      <c r="U29" s="16">
        <f t="shared" si="2"/>
        <v>0.55555555555555558</v>
      </c>
      <c r="V29" s="16">
        <f t="shared" si="3"/>
        <v>0.45454545454545453</v>
      </c>
      <c r="W29" s="13">
        <f t="shared" si="4"/>
        <v>25</v>
      </c>
      <c r="X29" s="16">
        <f t="shared" si="5"/>
        <v>0.43859649122807015</v>
      </c>
      <c r="Y29" s="13">
        <f t="shared" si="6"/>
        <v>4</v>
      </c>
    </row>
    <row r="30" spans="1:25" ht="18" customHeight="1">
      <c r="A30" s="13" t="s">
        <v>67</v>
      </c>
      <c r="B30" s="13">
        <v>5</v>
      </c>
      <c r="C30" s="13">
        <v>4</v>
      </c>
      <c r="D30" s="13">
        <v>2</v>
      </c>
      <c r="E30" s="13">
        <v>3</v>
      </c>
      <c r="F30" s="13">
        <v>0</v>
      </c>
      <c r="G30" s="13">
        <v>1</v>
      </c>
      <c r="H30" s="13">
        <v>0</v>
      </c>
      <c r="I30" s="13">
        <v>2</v>
      </c>
      <c r="J30" s="13">
        <v>0</v>
      </c>
      <c r="K30" s="13">
        <v>0</v>
      </c>
      <c r="L30" s="13">
        <v>1</v>
      </c>
      <c r="M30" s="13">
        <v>0</v>
      </c>
      <c r="N30" s="13">
        <v>0</v>
      </c>
      <c r="O30" s="13">
        <v>1</v>
      </c>
      <c r="P30" s="13">
        <v>3</v>
      </c>
      <c r="Q30" s="13">
        <v>2</v>
      </c>
      <c r="R30" s="13">
        <v>1</v>
      </c>
      <c r="S30" s="16">
        <f t="shared" si="0"/>
        <v>0.75</v>
      </c>
      <c r="T30" s="16">
        <f t="shared" si="1"/>
        <v>0.17647058823529413</v>
      </c>
      <c r="U30" s="16">
        <f t="shared" si="2"/>
        <v>0.1111111111111111</v>
      </c>
      <c r="V30" s="16">
        <f t="shared" si="3"/>
        <v>0.54545454545454541</v>
      </c>
      <c r="W30" s="13">
        <f t="shared" si="4"/>
        <v>25</v>
      </c>
      <c r="X30" s="16">
        <f t="shared" si="5"/>
        <v>0.43859649122807015</v>
      </c>
      <c r="Y30" s="13">
        <f t="shared" si="6"/>
        <v>4</v>
      </c>
    </row>
    <row r="31" spans="1:25" ht="18" customHeight="1">
      <c r="A31" s="13" t="s">
        <v>68</v>
      </c>
      <c r="B31" s="13">
        <v>5</v>
      </c>
      <c r="C31" s="13">
        <v>0</v>
      </c>
      <c r="D31" s="13">
        <v>2</v>
      </c>
      <c r="E31" s="13">
        <v>1</v>
      </c>
      <c r="F31" s="13">
        <v>1</v>
      </c>
      <c r="G31" s="13">
        <v>1</v>
      </c>
      <c r="H31" s="13">
        <v>0</v>
      </c>
      <c r="I31" s="13">
        <v>2</v>
      </c>
      <c r="J31" s="13">
        <v>0</v>
      </c>
      <c r="K31" s="13">
        <v>0</v>
      </c>
      <c r="L31" s="13">
        <v>0</v>
      </c>
      <c r="M31" s="13">
        <v>2</v>
      </c>
      <c r="N31" s="13">
        <v>0</v>
      </c>
      <c r="O31" s="13">
        <v>1</v>
      </c>
      <c r="P31" s="13">
        <v>3</v>
      </c>
      <c r="Q31" s="13">
        <v>2</v>
      </c>
      <c r="R31" s="13">
        <v>2</v>
      </c>
      <c r="S31" s="16">
        <f t="shared" si="0"/>
        <v>0.5</v>
      </c>
      <c r="T31" s="16">
        <f t="shared" si="1"/>
        <v>0.11764705882352941</v>
      </c>
      <c r="U31" s="16">
        <f t="shared" si="2"/>
        <v>0.33333333333333331</v>
      </c>
      <c r="V31" s="16">
        <f t="shared" si="3"/>
        <v>0.63636363636363635</v>
      </c>
      <c r="W31" s="13">
        <f t="shared" si="4"/>
        <v>22</v>
      </c>
      <c r="X31" s="16">
        <f t="shared" si="5"/>
        <v>0.38596491228070173</v>
      </c>
      <c r="Y31" s="13">
        <f t="shared" si="6"/>
        <v>4</v>
      </c>
    </row>
    <row r="32" spans="1:25" ht="18" customHeight="1">
      <c r="A32" s="13" t="s">
        <v>69</v>
      </c>
      <c r="B32" s="13">
        <v>4</v>
      </c>
      <c r="C32" s="13">
        <v>4</v>
      </c>
      <c r="D32" s="13">
        <v>0</v>
      </c>
      <c r="E32" s="13">
        <v>4</v>
      </c>
      <c r="F32" s="13">
        <v>1</v>
      </c>
      <c r="G32" s="13">
        <v>0</v>
      </c>
      <c r="H32" s="13">
        <v>0</v>
      </c>
      <c r="I32" s="13">
        <v>2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1</v>
      </c>
      <c r="P32" s="13">
        <v>3</v>
      </c>
      <c r="Q32" s="13">
        <v>2</v>
      </c>
      <c r="R32" s="13">
        <v>0</v>
      </c>
      <c r="S32" s="16">
        <f t="shared" si="0"/>
        <v>0.65</v>
      </c>
      <c r="T32" s="16">
        <f t="shared" si="1"/>
        <v>0.11764705882352941</v>
      </c>
      <c r="U32" s="16">
        <f t="shared" si="2"/>
        <v>0.1111111111111111</v>
      </c>
      <c r="V32" s="16">
        <f t="shared" si="3"/>
        <v>0.45454545454545453</v>
      </c>
      <c r="W32" s="13">
        <f t="shared" si="4"/>
        <v>21</v>
      </c>
      <c r="X32" s="16">
        <f t="shared" si="5"/>
        <v>0.36842105263157893</v>
      </c>
      <c r="Y32" s="13">
        <f t="shared" si="6"/>
        <v>4</v>
      </c>
    </row>
    <row r="33" spans="1:25" ht="18" customHeight="1">
      <c r="A33" s="13" t="s">
        <v>70</v>
      </c>
      <c r="B33" s="13">
        <v>6</v>
      </c>
      <c r="C33" s="13">
        <v>4</v>
      </c>
      <c r="D33" s="13">
        <v>0</v>
      </c>
      <c r="E33" s="13">
        <v>2</v>
      </c>
      <c r="F33" s="13">
        <v>1</v>
      </c>
      <c r="G33" s="13">
        <v>1</v>
      </c>
      <c r="H33" s="13">
        <v>0</v>
      </c>
      <c r="I33" s="13">
        <v>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2</v>
      </c>
      <c r="Q33" s="13">
        <v>0</v>
      </c>
      <c r="R33" s="13">
        <v>2</v>
      </c>
      <c r="S33" s="16">
        <f t="shared" si="0"/>
        <v>0.7</v>
      </c>
      <c r="T33" s="16">
        <f t="shared" si="1"/>
        <v>0.11764705882352941</v>
      </c>
      <c r="U33" s="16">
        <f t="shared" si="2"/>
        <v>0.1111111111111111</v>
      </c>
      <c r="V33" s="16">
        <f t="shared" si="3"/>
        <v>0.36363636363636365</v>
      </c>
      <c r="W33" s="13">
        <f t="shared" si="4"/>
        <v>21</v>
      </c>
      <c r="X33" s="16">
        <f t="shared" si="5"/>
        <v>0.36842105263157893</v>
      </c>
      <c r="Y33" s="13">
        <f t="shared" si="6"/>
        <v>4</v>
      </c>
    </row>
    <row r="34" spans="1:25" ht="18" customHeight="1">
      <c r="A34" s="13" t="s">
        <v>71</v>
      </c>
      <c r="B34" s="13">
        <v>0</v>
      </c>
      <c r="C34" s="13">
        <v>1</v>
      </c>
      <c r="D34" s="13">
        <v>0</v>
      </c>
      <c r="E34" s="13">
        <v>1</v>
      </c>
      <c r="F34" s="13">
        <v>1</v>
      </c>
      <c r="G34" s="13">
        <v>1</v>
      </c>
      <c r="H34" s="13">
        <v>0</v>
      </c>
      <c r="I34" s="13">
        <v>2</v>
      </c>
      <c r="J34" s="13">
        <v>0</v>
      </c>
      <c r="K34" s="13">
        <v>0</v>
      </c>
      <c r="L34" s="13">
        <v>1</v>
      </c>
      <c r="M34" s="13">
        <v>2</v>
      </c>
      <c r="N34" s="13">
        <v>0</v>
      </c>
      <c r="O34" s="13">
        <v>0</v>
      </c>
      <c r="P34" s="13">
        <v>1</v>
      </c>
      <c r="Q34" s="13">
        <v>1</v>
      </c>
      <c r="R34" s="13">
        <v>2</v>
      </c>
      <c r="S34" s="16">
        <f t="shared" si="0"/>
        <v>0.2</v>
      </c>
      <c r="T34" s="16">
        <f t="shared" si="1"/>
        <v>0.17647058823529413</v>
      </c>
      <c r="U34" s="16">
        <f t="shared" si="2"/>
        <v>0.22222222222222221</v>
      </c>
      <c r="V34" s="16">
        <f t="shared" si="3"/>
        <v>0.36363636363636365</v>
      </c>
      <c r="W34" s="13">
        <f t="shared" si="4"/>
        <v>13</v>
      </c>
      <c r="X34" s="16">
        <f t="shared" si="5"/>
        <v>0.22807017543859648</v>
      </c>
      <c r="Y34" s="13">
        <f t="shared" si="6"/>
        <v>3</v>
      </c>
    </row>
    <row r="35" spans="1:25" ht="18" customHeight="1">
      <c r="A35" s="13" t="s">
        <v>72</v>
      </c>
      <c r="B35" s="13">
        <v>3</v>
      </c>
      <c r="C35" s="13">
        <v>0</v>
      </c>
      <c r="D35" s="13">
        <v>0</v>
      </c>
      <c r="E35" s="13">
        <v>0</v>
      </c>
      <c r="F35" s="13">
        <v>1</v>
      </c>
      <c r="G35" s="13">
        <v>1</v>
      </c>
      <c r="H35" s="13">
        <v>1</v>
      </c>
      <c r="I35" s="13">
        <v>3</v>
      </c>
      <c r="J35" s="13">
        <v>0</v>
      </c>
      <c r="K35" s="13">
        <v>0</v>
      </c>
      <c r="L35" s="13">
        <v>0</v>
      </c>
      <c r="M35" s="13">
        <v>2</v>
      </c>
      <c r="N35" s="13">
        <v>0</v>
      </c>
      <c r="O35" s="13">
        <v>2</v>
      </c>
      <c r="P35" s="13">
        <v>0</v>
      </c>
      <c r="Q35" s="13">
        <v>0</v>
      </c>
      <c r="R35" s="13">
        <v>0</v>
      </c>
      <c r="S35" s="16">
        <f t="shared" si="0"/>
        <v>0.3</v>
      </c>
      <c r="T35" s="16">
        <f t="shared" si="1"/>
        <v>0.17647058823529413</v>
      </c>
      <c r="U35" s="16">
        <f t="shared" si="2"/>
        <v>0.44444444444444442</v>
      </c>
      <c r="V35" s="16">
        <f t="shared" si="3"/>
        <v>0</v>
      </c>
      <c r="W35" s="13">
        <f t="shared" si="4"/>
        <v>13</v>
      </c>
      <c r="X35" s="16">
        <f t="shared" si="5"/>
        <v>0.22807017543859648</v>
      </c>
      <c r="Y35" s="13">
        <f t="shared" si="6"/>
        <v>3</v>
      </c>
    </row>
    <row r="36" spans="1:25" ht="18" customHeight="1">
      <c r="A36" s="13" t="s">
        <v>73</v>
      </c>
      <c r="B36" s="13">
        <v>0</v>
      </c>
      <c r="C36" s="13">
        <v>0</v>
      </c>
      <c r="D36" s="13">
        <v>1</v>
      </c>
      <c r="E36" s="13">
        <v>0</v>
      </c>
      <c r="F36" s="13">
        <v>1</v>
      </c>
      <c r="G36" s="13">
        <v>1</v>
      </c>
      <c r="H36" s="13">
        <v>0</v>
      </c>
      <c r="I36" s="13">
        <v>2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2</v>
      </c>
      <c r="P36" s="13">
        <v>2</v>
      </c>
      <c r="Q36" s="13">
        <v>1</v>
      </c>
      <c r="R36" s="13">
        <v>1</v>
      </c>
      <c r="S36" s="16">
        <f t="shared" si="0"/>
        <v>0.15</v>
      </c>
      <c r="T36" s="16">
        <f t="shared" si="1"/>
        <v>0.11764705882352941</v>
      </c>
      <c r="U36" s="16">
        <f t="shared" si="2"/>
        <v>0.22222222222222221</v>
      </c>
      <c r="V36" s="16">
        <f t="shared" si="3"/>
        <v>0.36363636363636365</v>
      </c>
      <c r="W36" s="13">
        <f t="shared" si="4"/>
        <v>11</v>
      </c>
      <c r="X36" s="16">
        <f t="shared" si="5"/>
        <v>0.19298245614035087</v>
      </c>
      <c r="Y36" s="13">
        <f t="shared" si="6"/>
        <v>2</v>
      </c>
    </row>
    <row r="37" spans="1:25" ht="18" customHeight="1">
      <c r="A37" s="13" t="s">
        <v>74</v>
      </c>
      <c r="B37" s="13">
        <v>1</v>
      </c>
      <c r="C37" s="13">
        <v>1</v>
      </c>
      <c r="D37" s="13">
        <v>0</v>
      </c>
      <c r="E37" s="13">
        <v>0</v>
      </c>
      <c r="F37" s="13">
        <v>1</v>
      </c>
      <c r="G37" s="13">
        <v>0</v>
      </c>
      <c r="H37" s="13">
        <v>0</v>
      </c>
      <c r="I37" s="13">
        <v>1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1</v>
      </c>
      <c r="Q37" s="13">
        <v>0</v>
      </c>
      <c r="R37" s="13">
        <v>2</v>
      </c>
      <c r="S37" s="16">
        <f t="shared" si="0"/>
        <v>0.15</v>
      </c>
      <c r="T37" s="16">
        <f t="shared" si="1"/>
        <v>5.8823529411764705E-2</v>
      </c>
      <c r="U37" s="16">
        <f t="shared" si="2"/>
        <v>0.1111111111111111</v>
      </c>
      <c r="V37" s="16">
        <f t="shared" si="3"/>
        <v>0.27272727272727271</v>
      </c>
      <c r="W37" s="13">
        <f t="shared" si="4"/>
        <v>8</v>
      </c>
      <c r="X37" s="16">
        <f t="shared" si="5"/>
        <v>0.14035087719298245</v>
      </c>
      <c r="Y37" s="13">
        <f t="shared" si="6"/>
        <v>2</v>
      </c>
    </row>
    <row r="38" spans="1:25" ht="18" customHeight="1">
      <c r="A38" s="13" t="s">
        <v>75</v>
      </c>
      <c r="B38" s="13">
        <v>1</v>
      </c>
      <c r="C38" s="13">
        <v>0</v>
      </c>
      <c r="D38" s="13">
        <v>0</v>
      </c>
      <c r="E38" s="13">
        <v>3</v>
      </c>
      <c r="F38" s="13">
        <v>1</v>
      </c>
      <c r="G38" s="13">
        <v>1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1</v>
      </c>
      <c r="N38" s="13">
        <v>1</v>
      </c>
      <c r="O38" s="13">
        <v>0</v>
      </c>
      <c r="P38" s="13">
        <v>0</v>
      </c>
      <c r="Q38" s="13">
        <v>0</v>
      </c>
      <c r="R38" s="13">
        <v>0</v>
      </c>
      <c r="S38" s="16">
        <f t="shared" si="0"/>
        <v>0.3</v>
      </c>
      <c r="T38" s="16">
        <f t="shared" si="1"/>
        <v>0</v>
      </c>
      <c r="U38" s="16">
        <f t="shared" si="2"/>
        <v>0.22222222222222221</v>
      </c>
      <c r="V38" s="16">
        <f t="shared" si="3"/>
        <v>0</v>
      </c>
      <c r="W38" s="13">
        <f t="shared" si="4"/>
        <v>8</v>
      </c>
      <c r="X38" s="16">
        <f t="shared" si="5"/>
        <v>0.14035087719298245</v>
      </c>
      <c r="Y38" s="13">
        <f t="shared" si="6"/>
        <v>2</v>
      </c>
    </row>
    <row r="39" spans="1:25" ht="18" customHeight="1">
      <c r="A39" s="13" t="s">
        <v>76</v>
      </c>
      <c r="B39" s="13">
        <v>0</v>
      </c>
      <c r="C39" s="13">
        <v>2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6">
        <f t="shared" si="0"/>
        <v>0.1</v>
      </c>
      <c r="T39" s="16">
        <f t="shared" si="1"/>
        <v>0</v>
      </c>
      <c r="U39" s="16">
        <f t="shared" si="2"/>
        <v>0</v>
      </c>
      <c r="V39" s="16">
        <f t="shared" si="3"/>
        <v>0</v>
      </c>
      <c r="W39" s="13">
        <f t="shared" si="4"/>
        <v>2</v>
      </c>
      <c r="X39" s="16">
        <f t="shared" si="5"/>
        <v>3.5087719298245612E-2</v>
      </c>
      <c r="Y39" s="13">
        <f t="shared" si="6"/>
        <v>1</v>
      </c>
    </row>
    <row r="40" spans="1: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>
      <c r="A41" s="17" t="s">
        <v>129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>
        <f t="shared" ref="S41:X41" si="7">AVERAGE(S8:S39)</f>
        <v>0.7</v>
      </c>
      <c r="T41" s="18">
        <f t="shared" si="7"/>
        <v>0.47794117647058815</v>
      </c>
      <c r="U41" s="18">
        <f t="shared" si="7"/>
        <v>0.61805555555555547</v>
      </c>
      <c r="V41" s="18">
        <f t="shared" si="7"/>
        <v>0.52272727272727282</v>
      </c>
      <c r="W41" s="17">
        <f t="shared" si="7"/>
        <v>33.4375</v>
      </c>
      <c r="X41" s="18">
        <f t="shared" si="7"/>
        <v>0.58662280701754388</v>
      </c>
      <c r="Y41" s="17"/>
    </row>
    <row r="42" spans="1: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">
      <c r="A45" s="40" t="s">
        <v>130</v>
      </c>
      <c r="B45" s="40" t="s">
        <v>130</v>
      </c>
      <c r="C45" s="40" t="s">
        <v>130</v>
      </c>
      <c r="D45" s="40" t="s">
        <v>130</v>
      </c>
      <c r="E45" s="40" t="s">
        <v>130</v>
      </c>
      <c r="F45" s="40" t="s">
        <v>130</v>
      </c>
      <c r="G45" s="40" t="s">
        <v>130</v>
      </c>
      <c r="H45" s="40" t="s">
        <v>130</v>
      </c>
      <c r="I45" s="40" t="s">
        <v>130</v>
      </c>
      <c r="J45" s="40" t="s">
        <v>130</v>
      </c>
      <c r="K45" s="40" t="s">
        <v>130</v>
      </c>
      <c r="L45" s="40" t="s">
        <v>130</v>
      </c>
      <c r="M45" s="40" t="s">
        <v>130</v>
      </c>
      <c r="N45" s="40" t="s">
        <v>130</v>
      </c>
      <c r="O45" s="40" t="s">
        <v>130</v>
      </c>
      <c r="P45" s="40" t="s">
        <v>130</v>
      </c>
      <c r="Q45" s="40" t="s">
        <v>130</v>
      </c>
      <c r="R45" s="40" t="s">
        <v>130</v>
      </c>
      <c r="S45" s="40" t="s">
        <v>130</v>
      </c>
      <c r="T45" s="40" t="s">
        <v>130</v>
      </c>
      <c r="U45" s="40" t="s">
        <v>130</v>
      </c>
      <c r="V45" s="40" t="s">
        <v>130</v>
      </c>
      <c r="W45" s="40" t="s">
        <v>130</v>
      </c>
      <c r="X45" s="40" t="s">
        <v>130</v>
      </c>
      <c r="Y45" s="40" t="s">
        <v>130</v>
      </c>
    </row>
    <row r="46" spans="1:25">
      <c r="A46" s="13" t="s">
        <v>131</v>
      </c>
      <c r="B46" s="13" t="s">
        <v>131</v>
      </c>
      <c r="C46" s="13" t="s">
        <v>131</v>
      </c>
      <c r="D46" s="13" t="s">
        <v>131</v>
      </c>
      <c r="E46" s="13" t="s">
        <v>131</v>
      </c>
      <c r="F46" s="13" t="s">
        <v>131</v>
      </c>
      <c r="G46" s="13" t="s">
        <v>131</v>
      </c>
      <c r="H46" s="13" t="s">
        <v>131</v>
      </c>
      <c r="I46" s="13" t="s">
        <v>131</v>
      </c>
      <c r="J46" s="13" t="s">
        <v>131</v>
      </c>
      <c r="K46" s="13" t="s">
        <v>131</v>
      </c>
      <c r="L46" s="13" t="s">
        <v>131</v>
      </c>
      <c r="M46" s="13" t="s">
        <v>131</v>
      </c>
      <c r="N46" s="13" t="s">
        <v>131</v>
      </c>
      <c r="O46" s="13" t="s">
        <v>131</v>
      </c>
      <c r="P46" s="13" t="s">
        <v>131</v>
      </c>
      <c r="Q46" s="13" t="s">
        <v>131</v>
      </c>
      <c r="R46" s="13" t="s">
        <v>131</v>
      </c>
      <c r="S46" s="13" t="s">
        <v>131</v>
      </c>
      <c r="T46" s="13" t="s">
        <v>131</v>
      </c>
      <c r="U46" s="13" t="s">
        <v>131</v>
      </c>
      <c r="V46" s="13" t="s">
        <v>131</v>
      </c>
      <c r="W46" s="13" t="s">
        <v>131</v>
      </c>
      <c r="X46" s="13" t="s">
        <v>131</v>
      </c>
      <c r="Y46" s="13" t="s">
        <v>131</v>
      </c>
    </row>
    <row r="47" spans="1:25" ht="24">
      <c r="A47" s="19" t="s">
        <v>132</v>
      </c>
      <c r="B47" s="19" t="s">
        <v>133</v>
      </c>
      <c r="C47" s="19" t="s">
        <v>134</v>
      </c>
      <c r="D47" s="13"/>
      <c r="E47" s="41" t="s">
        <v>135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24.95" customHeight="1">
      <c r="A48" s="20" t="s">
        <v>120</v>
      </c>
      <c r="B48" s="20" t="s">
        <v>136</v>
      </c>
      <c r="C48" s="20" t="s">
        <v>137</v>
      </c>
      <c r="D48" s="13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 ht="24.95" customHeight="1">
      <c r="A49" s="20" t="s">
        <v>121</v>
      </c>
      <c r="B49" s="20" t="s">
        <v>138</v>
      </c>
      <c r="C49" s="20" t="s">
        <v>139</v>
      </c>
      <c r="D49" s="13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 ht="24.95" customHeight="1">
      <c r="A50" s="20" t="s">
        <v>122</v>
      </c>
      <c r="B50" s="20" t="s">
        <v>140</v>
      </c>
      <c r="C50" s="20" t="s">
        <v>141</v>
      </c>
      <c r="D50" s="13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 ht="24.95" customHeight="1">
      <c r="A51" s="20" t="s">
        <v>123</v>
      </c>
      <c r="B51" s="20" t="s">
        <v>142</v>
      </c>
      <c r="C51" s="20" t="s">
        <v>143</v>
      </c>
      <c r="D51" s="13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 ht="24.95" customHeight="1">
      <c r="A52" s="20" t="s">
        <v>144</v>
      </c>
      <c r="B52" s="20" t="s">
        <v>145</v>
      </c>
      <c r="C52" s="20" t="s">
        <v>146</v>
      </c>
      <c r="D52" s="13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spans="1:25" ht="24.95" customHeight="1">
      <c r="A53" s="20" t="s">
        <v>125</v>
      </c>
      <c r="B53" s="20" t="s">
        <v>147</v>
      </c>
      <c r="C53" s="20" t="s">
        <v>148</v>
      </c>
      <c r="D53" s="13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spans="1:25" ht="24.95" customHeight="1">
      <c r="A54" s="20" t="s">
        <v>126</v>
      </c>
      <c r="B54" s="20" t="s">
        <v>149</v>
      </c>
      <c r="C54" s="20" t="s">
        <v>126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24.95" customHeight="1">
      <c r="A55" s="20" t="s">
        <v>150</v>
      </c>
      <c r="B55" s="20" t="s">
        <v>151</v>
      </c>
      <c r="C55" s="20" t="s">
        <v>150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</sheetData>
  <mergeCells count="10">
    <mergeCell ref="A45:Y45"/>
    <mergeCell ref="E47:Y47"/>
    <mergeCell ref="E48:Y53"/>
    <mergeCell ref="A1:Y2"/>
    <mergeCell ref="A3:Y3"/>
    <mergeCell ref="B5:H5"/>
    <mergeCell ref="I5:L5"/>
    <mergeCell ref="M5:O5"/>
    <mergeCell ref="P5:R5"/>
    <mergeCell ref="S5:Y5"/>
  </mergeCells>
  <conditionalFormatting sqref="S8:S3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T8:T3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U8:U39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8:V39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X8:X39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Impact Dashboard</vt:lpstr>
      <vt:lpstr>Processed Analysis</vt:lpstr>
      <vt:lpstr>Current Raw - Anonymised</vt:lpstr>
      <vt:lpstr>Previous Raw - Source</vt:lpstr>
      <vt:lpstr>Current Raw +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ozioko</dc:creator>
  <cp:lastModifiedBy>Paul Ozioko</cp:lastModifiedBy>
  <dcterms:created xsi:type="dcterms:W3CDTF">2026-10-07T03:56:24Z</dcterms:created>
  <dcterms:modified xsi:type="dcterms:W3CDTF">2026-10-07T06:59:25Z</dcterms:modified>
</cp:coreProperties>
</file>